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今日输入" sheetId="1" state="visible" r:id="rId1"/>
    <sheet xmlns:r="http://schemas.openxmlformats.org/officeDocument/2006/relationships" name="02_评分规则" sheetId="2" state="visible" r:id="rId2"/>
    <sheet xmlns:r="http://schemas.openxmlformats.org/officeDocument/2006/relationships" name="03_阶段推进" sheetId="3" state="visible" r:id="rId3"/>
    <sheet xmlns:r="http://schemas.openxmlformats.org/officeDocument/2006/relationships" name="04_ETF执行计划" sheetId="4" state="visible" r:id="rId4"/>
    <sheet xmlns:r="http://schemas.openxmlformats.org/officeDocument/2006/relationships" name="05_持仓复核" sheetId="5" state="visible" r:id="rId5"/>
    <sheet xmlns:r="http://schemas.openxmlformats.org/officeDocument/2006/relationships" name="06_复盘日志" sheetId="6" state="visible" r:id="rId6"/>
    <sheet xmlns:r="http://schemas.openxmlformats.org/officeDocument/2006/relationships" name="07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1F2937"/>
      <sz val="15"/>
    </font>
    <font>
      <name val="Microsoft YaHei"/>
      <color rgb="00667085"/>
      <sz val="9"/>
    </font>
    <font>
      <name val="Microsoft YaHei"/>
      <b val="1"/>
      <color rgb="00FFFFFF"/>
      <sz val="10"/>
    </font>
    <font>
      <name val="Microsoft YaHei"/>
      <color rgb="00111827"/>
      <sz val="10"/>
    </font>
    <font>
      <name val="Microsoft YaHei"/>
      <color rgb="000000FF"/>
      <sz val="10"/>
    </font>
    <font>
      <name val="Microsoft YaHe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3" fontId="6" fillId="0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8" customWidth="1" min="3" max="3"/>
  </cols>
  <sheetData>
    <row r="1" ht="24" customHeight="1">
      <c r="A1" s="1" t="inlineStr">
        <is>
          <t>V2.8.6 今日输入</t>
        </is>
      </c>
      <c r="B1" s="2" t="n"/>
      <c r="C1" s="2" t="n"/>
    </row>
    <row r="2" ht="32" customHeight="1">
      <c r="A2" s="3" t="inlineStr">
        <is>
          <t>蓝字为可编辑输入；黑字为公式；本表只做纪律提醒，不构成自动交易指令。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字段</t>
        </is>
      </c>
      <c r="B4" s="4" t="inlineStr">
        <is>
          <t>输入值</t>
        </is>
      </c>
      <c r="C4" s="4" t="inlineStr">
        <is>
          <t>说明</t>
        </is>
      </c>
    </row>
    <row r="5">
      <c r="A5" s="5" t="inlineStr">
        <is>
          <t>日期</t>
        </is>
      </c>
      <c r="B5" s="6" t="n">
        <v>46203</v>
      </c>
      <c r="C5" s="5" t="inlineStr">
        <is>
          <t>交易日</t>
        </is>
      </c>
    </row>
    <row r="6">
      <c r="A6" s="5" t="inlineStr">
        <is>
          <t>总量锚</t>
        </is>
      </c>
      <c r="B6" s="7" t="inlineStr">
        <is>
          <t>绿</t>
        </is>
      </c>
      <c r="C6" s="5" t="inlineStr">
        <is>
          <t>绿/黄/红</t>
        </is>
      </c>
    </row>
    <row r="7">
      <c r="A7" s="5" t="inlineStr">
        <is>
          <t>成长锚</t>
        </is>
      </c>
      <c r="B7" s="7" t="inlineStr">
        <is>
          <t>绿</t>
        </is>
      </c>
      <c r="C7" s="5" t="inlineStr">
        <is>
          <t>绿/黄/红</t>
        </is>
      </c>
    </row>
    <row r="8">
      <c r="A8" s="5" t="inlineStr">
        <is>
          <t>情绪温度</t>
        </is>
      </c>
      <c r="B8" s="7" t="n">
        <v>4</v>
      </c>
      <c r="C8" s="5" t="inlineStr">
        <is>
          <t>0-10，越高越热</t>
        </is>
      </c>
    </row>
    <row r="9">
      <c r="A9" s="5" t="inlineStr">
        <is>
          <t>证券账户可用资金</t>
        </is>
      </c>
      <c r="B9" s="7" t="n">
        <v>222000</v>
      </c>
      <c r="C9" s="5" t="inlineStr">
        <is>
          <t>用于计算单次买入上限</t>
        </is>
      </c>
    </row>
    <row r="10">
      <c r="A10" s="5" t="inlineStr">
        <is>
          <t>全资产目标金额</t>
        </is>
      </c>
      <c r="B10" s="6" t="n">
        <v>4783000</v>
      </c>
      <c r="C10" s="5" t="inlineStr">
        <is>
          <t>第一年配置表口径</t>
        </is>
      </c>
    </row>
    <row r="11">
      <c r="A11" s="5" t="inlineStr">
        <is>
          <t>现金安全垫是否达标</t>
        </is>
      </c>
      <c r="B11" s="6" t="inlineStr">
        <is>
          <t>是</t>
        </is>
      </c>
      <c r="C11" s="5" t="inlineStr">
        <is>
          <t>是/否</t>
        </is>
      </c>
    </row>
    <row r="12">
      <c r="A12" s="5" t="inlineStr">
        <is>
          <t>今日最多买入方向</t>
        </is>
      </c>
      <c r="B12" s="7" t="n">
        <v>1</v>
      </c>
      <c r="C12" s="5" t="inlineStr">
        <is>
          <t>纪律上限</t>
        </is>
      </c>
    </row>
    <row r="13">
      <c r="A13" s="5" t="inlineStr">
        <is>
          <t>今日最多减仓方向</t>
        </is>
      </c>
      <c r="B13" s="7" t="n">
        <v>2</v>
      </c>
      <c r="C13" s="5" t="inlineStr">
        <is>
          <t>风控优先</t>
        </is>
      </c>
    </row>
  </sheetData>
  <mergeCells count="2">
    <mergeCell ref="A1:C1"/>
    <mergeCell ref="A2:C2"/>
  </mergeCells>
  <dataValidations count="2">
    <dataValidation sqref="B6:B7" showDropDown="0" showInputMessage="0" showErrorMessage="0" allowBlank="0" type="list">
      <formula1>"绿,黄,红"</formula1>
    </dataValidation>
    <dataValidation sqref="B11" showDropDown="0" showInputMessage="0" showErrorMessage="0" allowBlank="0" type="list">
      <formula1>"是,否"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8" customWidth="1" min="3" max="3"/>
    <col width="12" customWidth="1" min="4" max="4"/>
    <col width="32" customWidth="1" min="5" max="5"/>
  </cols>
  <sheetData>
    <row r="1" ht="24" customHeight="1">
      <c r="A1" s="1" t="inlineStr">
        <is>
          <t>ETF质量与买点评分规则</t>
        </is>
      </c>
      <c r="B1" s="2" t="n"/>
      <c r="C1" s="2" t="n"/>
      <c r="D1" s="2" t="n"/>
      <c r="E1" s="2" t="n"/>
    </row>
    <row r="2" ht="32" customHeight="1">
      <c r="A2" s="3" t="inlineStr">
        <is>
          <t>蓝字为可编辑输入；黑字为公式；本表只做纪律提醒，不构成自动交易指令。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n"/>
      <c r="B4" s="4" t="n"/>
      <c r="C4" s="4" t="n"/>
      <c r="D4" s="4" t="n"/>
      <c r="E4" s="4" t="n"/>
    </row>
    <row r="5">
      <c r="A5" s="5" t="inlineStr">
        <is>
          <t>模块</t>
        </is>
      </c>
      <c r="B5" s="8" t="inlineStr">
        <is>
          <t>权重</t>
        </is>
      </c>
      <c r="C5" s="5" t="inlineStr">
        <is>
          <t>评分说明</t>
        </is>
      </c>
      <c r="D5" s="8" t="inlineStr">
        <is>
          <t>通过线</t>
        </is>
      </c>
      <c r="E5" s="5" t="inlineStr">
        <is>
          <t>一票否决</t>
        </is>
      </c>
    </row>
    <row r="6">
      <c r="A6" s="5" t="inlineStr">
        <is>
          <t>主线匹配</t>
        </is>
      </c>
      <c r="B6" s="8" t="n">
        <v>2</v>
      </c>
      <c r="C6" s="5" t="inlineStr">
        <is>
          <t>未来三年利润分配中心；政策、产业、盈利至少三项成立</t>
        </is>
      </c>
      <c r="D6" s="8" t="n">
        <v>1.5</v>
      </c>
      <c r="E6" s="5" t="inlineStr">
        <is>
          <t>纯题材无盈利验证</t>
        </is>
      </c>
    </row>
    <row r="7">
      <c r="A7" s="5" t="inlineStr">
        <is>
          <t>资金语言</t>
        </is>
      </c>
      <c r="B7" s="8" t="n">
        <v>2</v>
      </c>
      <c r="C7" s="5" t="inlineStr">
        <is>
          <t>成交额、ETF份额、相对强度、龙头承接</t>
        </is>
      </c>
      <c r="D7" s="8" t="n">
        <v>1.5</v>
      </c>
      <c r="E7" s="5" t="inlineStr">
        <is>
          <t>连续放量下跌/净赎回恶化</t>
        </is>
      </c>
    </row>
    <row r="8">
      <c r="A8" s="5" t="inlineStr">
        <is>
          <t>资产质量</t>
        </is>
      </c>
      <c r="B8" s="8" t="n">
        <v>2</v>
      </c>
      <c r="C8" s="5" t="inlineStr">
        <is>
          <t>指数成分、景气、兑现、替代难度</t>
        </is>
      </c>
      <c r="D8" s="8" t="n">
        <v>1.5</v>
      </c>
      <c r="E8" s="5" t="inlineStr">
        <is>
          <t>质量评分低于8</t>
        </is>
      </c>
    </row>
    <row r="9">
      <c r="A9" s="5" t="inlineStr">
        <is>
          <t>估值情绪</t>
        </is>
      </c>
      <c r="B9" s="8" t="n">
        <v>2</v>
      </c>
      <c r="C9" s="5" t="inlineStr">
        <is>
          <t>估值分位、拥挤度、媒体热度、涨幅透支</t>
        </is>
      </c>
      <c r="D9" s="8" t="n">
        <v>1</v>
      </c>
      <c r="E9" s="5" t="inlineStr">
        <is>
          <t>情绪温度≥7</t>
        </is>
      </c>
    </row>
    <row r="10">
      <c r="A10" s="2" t="inlineStr">
        <is>
          <t>技术买点</t>
        </is>
      </c>
      <c r="B10" s="2" t="n">
        <v>2</v>
      </c>
      <c r="C10" s="2" t="inlineStr">
        <is>
          <t>回踩、突破、止跌三类买点确认质量</t>
        </is>
      </c>
      <c r="D10" s="2" t="n">
        <v>1.5</v>
      </c>
      <c r="E10" s="2" t="inlineStr">
        <is>
          <t>无确认，只因年度缺口补仓</t>
        </is>
      </c>
    </row>
  </sheetData>
  <mergeCells count="2">
    <mergeCell ref="A2:E2"/>
    <mergeCell ref="A1:E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28" customWidth="1" min="15" max="15"/>
  </cols>
  <sheetData>
    <row r="1" ht="24" customHeight="1">
      <c r="A1" s="1" t="inlineStr">
        <is>
          <t>阶段达标后再加仓检查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2" customHeight="1">
      <c r="A2" s="3" t="inlineStr">
        <is>
          <t>蓝字为可编辑输入；黑字为公式；本表只做纪律提醒，不构成自动交易指令。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Code</t>
        </is>
      </c>
      <c r="B4" s="4" t="inlineStr">
        <is>
          <t>Name</t>
        </is>
      </c>
      <c r="C4" s="4" t="inlineStr">
        <is>
          <t>年度目标占比</t>
        </is>
      </c>
      <c r="D4" s="4" t="inlineStr">
        <is>
          <t>当前全资产占比</t>
        </is>
      </c>
      <c r="E4" s="4" t="inlineStr">
        <is>
          <t>当前阶段</t>
        </is>
      </c>
      <c r="F4" s="4" t="inlineStr">
        <is>
          <t>阶段目标下限</t>
        </is>
      </c>
      <c r="G4" s="4" t="inlineStr">
        <is>
          <t>阶段目标上限</t>
        </is>
      </c>
      <c r="H4" s="4" t="inlineStr">
        <is>
          <t>质量评分</t>
        </is>
      </c>
      <c r="I4" s="4" t="inlineStr">
        <is>
          <t>买点类型</t>
        </is>
      </c>
      <c r="J4" s="4" t="inlineStr">
        <is>
          <t>阶段验证</t>
        </is>
      </c>
      <c r="K4" s="4" t="inlineStr">
        <is>
          <t>年度缺口</t>
        </is>
      </c>
      <c r="L4" s="4" t="inlineStr">
        <is>
          <t>阶段占用率</t>
        </is>
      </c>
      <c r="M4" s="4" t="inlineStr">
        <is>
          <t>下一档结论</t>
        </is>
      </c>
      <c r="N4" s="4" t="inlineStr">
        <is>
          <t>建议单次上限</t>
        </is>
      </c>
      <c r="O4" s="4" t="inlineStr">
        <is>
          <t>阻断原因/备注</t>
        </is>
      </c>
    </row>
    <row r="5">
      <c r="A5" s="9" t="inlineStr">
        <is>
          <t>159516</t>
        </is>
      </c>
      <c r="B5" s="9" t="inlineStr">
        <is>
          <t>半导体设备ETF</t>
        </is>
      </c>
      <c r="C5" s="10" t="n">
        <v>0.1</v>
      </c>
      <c r="D5" s="10" t="n">
        <v>0.0131</v>
      </c>
      <c r="E5" s="7" t="inlineStr">
        <is>
          <t>观察仓</t>
        </is>
      </c>
      <c r="F5" s="10" t="n">
        <v>0</v>
      </c>
      <c r="G5" s="10" t="n">
        <v>0.2</v>
      </c>
      <c r="H5" s="7" t="n">
        <v>8.800000000000001</v>
      </c>
      <c r="I5" s="7" t="inlineStr">
        <is>
          <t>回踩确认</t>
        </is>
      </c>
      <c r="J5" s="7" t="inlineStr">
        <is>
          <t>是</t>
        </is>
      </c>
      <c r="K5" s="11">
        <f>MAX(0,C5-D5)</f>
        <v/>
      </c>
      <c r="L5" s="11">
        <f>IF(C5=0,0,D5/C5)</f>
        <v/>
      </c>
      <c r="M5" s="12">
        <f>IF(OR('01_今日输入'!$B$6="红",'01_今日输入'!$B$7="红",'01_今日输入'!$B$8&gt;=7,H5&lt;8),"暂停/降级",IF(AND(J5="是",K5&gt;0,L5&gt;=G5,'01_今日输入'!$B$8&lt;=4),"允许下一档",IF(AND(K5&gt;0,H5&gt;=8,'01_今日输入'!$B$8&lt;=5),"小额防踏空","等待")))</f>
        <v/>
      </c>
      <c r="N5" s="13">
        <f>IF(M5="允许下一档",MIN('01_今日输入'!$B$9*0.15,'01_今日输入'!$B$10*0.015),IF(M5="小额防踏空",MIN('01_今日输入'!$B$9*0.08,'01_今日输入'!$B$10*0.005),0))</f>
        <v/>
      </c>
      <c r="O5" s="9" t="inlineStr"/>
    </row>
    <row r="6">
      <c r="A6" s="9" t="inlineStr">
        <is>
          <t>562500</t>
        </is>
      </c>
      <c r="B6" s="9" t="inlineStr">
        <is>
          <t>机器人ETF</t>
        </is>
      </c>
      <c r="C6" s="10" t="n">
        <v>0.08</v>
      </c>
      <c r="D6" s="10" t="n">
        <v>0.0288</v>
      </c>
      <c r="E6" s="7" t="inlineStr">
        <is>
          <t>验证仓</t>
        </is>
      </c>
      <c r="F6" s="10" t="n">
        <v>0.2</v>
      </c>
      <c r="G6" s="10" t="n">
        <v>0.4</v>
      </c>
      <c r="H6" s="7" t="n">
        <v>8.199999999999999</v>
      </c>
      <c r="I6" s="7" t="inlineStr">
        <is>
          <t>持有不加</t>
        </is>
      </c>
      <c r="J6" s="7" t="inlineStr">
        <is>
          <t>否</t>
        </is>
      </c>
      <c r="K6" s="11">
        <f>MAX(0,C6-D6)</f>
        <v/>
      </c>
      <c r="L6" s="11">
        <f>IF(C6=0,0,D6/C6)</f>
        <v/>
      </c>
      <c r="M6" s="12">
        <f>IF(OR('01_今日输入'!$B$6="红",'01_今日输入'!$B$7="红",'01_今日输入'!$B$8&gt;=7,H6&lt;8),"暂停/降级",IF(AND(J6="是",K6&gt;0,L6&gt;=G6,'01_今日输入'!$B$8&lt;=4),"允许下一档",IF(AND(K6&gt;0,H6&gt;=8,'01_今日输入'!$B$8&lt;=5),"小额防踏空","等待")))</f>
        <v/>
      </c>
      <c r="N6" s="13">
        <f>IF(M6="允许下一档",MIN('01_今日输入'!$B$9*0.15,'01_今日输入'!$B$10*0.015),IF(M6="小额防踏空",MIN('01_今日输入'!$B$9*0.08,'01_今日输入'!$B$10*0.005),0))</f>
        <v/>
      </c>
      <c r="O6" s="9" t="inlineStr">
        <is>
          <t>当前不追高</t>
        </is>
      </c>
    </row>
    <row r="7">
      <c r="A7" s="9" t="inlineStr">
        <is>
          <t>159381</t>
        </is>
      </c>
      <c r="B7" s="9" t="inlineStr">
        <is>
          <t>创业板人工智能ETF</t>
        </is>
      </c>
      <c r="C7" s="10" t="n">
        <v>0.07000000000000001</v>
      </c>
      <c r="D7" s="10" t="n">
        <v>0.0047</v>
      </c>
      <c r="E7" s="7" t="inlineStr">
        <is>
          <t>观察仓</t>
        </is>
      </c>
      <c r="F7" s="10" t="n">
        <v>0</v>
      </c>
      <c r="G7" s="10" t="n">
        <v>0.2</v>
      </c>
      <c r="H7" s="7" t="n">
        <v>8.5</v>
      </c>
      <c r="I7" s="7" t="inlineStr">
        <is>
          <t>止跌确认</t>
        </is>
      </c>
      <c r="J7" s="7" t="inlineStr">
        <is>
          <t>是</t>
        </is>
      </c>
      <c r="K7" s="11">
        <f>MAX(0,C7-D7)</f>
        <v/>
      </c>
      <c r="L7" s="11">
        <f>IF(C7=0,0,D7/C7)</f>
        <v/>
      </c>
      <c r="M7" s="12">
        <f>IF(OR('01_今日输入'!$B$6="红",'01_今日输入'!$B$7="红",'01_今日输入'!$B$8&gt;=7,H7&lt;8),"暂停/降级",IF(AND(J7="是",K7&gt;0,L7&gt;=G7,'01_今日输入'!$B$8&lt;=4),"允许下一档",IF(AND(K7&gt;0,H7&gt;=8,'01_今日输入'!$B$8&lt;=5),"小额防踏空","等待")))</f>
        <v/>
      </c>
      <c r="N7" s="13">
        <f>IF(M7="允许下一档",MIN('01_今日输入'!$B$9*0.15,'01_今日输入'!$B$10*0.015),IF(M7="小额防踏空",MIN('01_今日输入'!$B$9*0.08,'01_今日输入'!$B$10*0.005),0))</f>
        <v/>
      </c>
      <c r="O7" s="9" t="inlineStr"/>
    </row>
    <row r="8">
      <c r="A8" s="9" t="inlineStr">
        <is>
          <t>588700</t>
        </is>
      </c>
      <c r="B8" s="9" t="inlineStr">
        <is>
          <t>创新药ETF</t>
        </is>
      </c>
      <c r="C8" s="10" t="n">
        <v>0.03</v>
      </c>
      <c r="D8" s="10" t="n">
        <v>0</v>
      </c>
      <c r="E8" s="7" t="inlineStr">
        <is>
          <t>观察池</t>
        </is>
      </c>
      <c r="F8" s="10" t="n">
        <v>0</v>
      </c>
      <c r="G8" s="10" t="n">
        <v>0.2</v>
      </c>
      <c r="H8" s="7" t="n">
        <v>7.8</v>
      </c>
      <c r="I8" s="7" t="inlineStr">
        <is>
          <t>等待</t>
        </is>
      </c>
      <c r="J8" s="7" t="inlineStr">
        <is>
          <t>否</t>
        </is>
      </c>
      <c r="K8" s="11">
        <f>MAX(0,C8-D8)</f>
        <v/>
      </c>
      <c r="L8" s="11">
        <f>IF(C8=0,0,D8/C8)</f>
        <v/>
      </c>
      <c r="M8" s="12">
        <f>IF(OR('01_今日输入'!$B$6="红",'01_今日输入'!$B$7="红",'01_今日输入'!$B$8&gt;=7,H8&lt;8),"暂停/降级",IF(AND(J8="是",K8&gt;0,L8&gt;=G8,'01_今日输入'!$B$8&lt;=4),"允许下一档",IF(AND(K8&gt;0,H8&gt;=8,'01_今日输入'!$B$8&lt;=5),"小额防踏空","等待")))</f>
        <v/>
      </c>
      <c r="N8" s="13">
        <f>IF(M8="允许下一档",MIN('01_今日输入'!$B$9*0.15,'01_今日输入'!$B$10*0.015),IF(M8="小额防踏空",MIN('01_今日输入'!$B$9*0.08,'01_今日输入'!$B$10*0.005),0))</f>
        <v/>
      </c>
      <c r="O8" s="9" t="inlineStr">
        <is>
          <t>需二次确认</t>
        </is>
      </c>
    </row>
    <row r="9">
      <c r="A9" s="9" t="inlineStr">
        <is>
          <t>512890</t>
        </is>
      </c>
      <c r="B9" s="9" t="inlineStr">
        <is>
          <t>红利低波ETF</t>
        </is>
      </c>
      <c r="C9" s="10" t="n">
        <v>0.05</v>
      </c>
      <c r="D9" s="10" t="n">
        <v>0.0089</v>
      </c>
      <c r="E9" s="7" t="inlineStr">
        <is>
          <t>防守仓</t>
        </is>
      </c>
      <c r="F9" s="10" t="n">
        <v>0</v>
      </c>
      <c r="G9" s="10" t="n">
        <v>0.4</v>
      </c>
      <c r="H9" s="7" t="n">
        <v>7.5</v>
      </c>
      <c r="I9" s="7" t="inlineStr">
        <is>
          <t>慢建</t>
        </is>
      </c>
      <c r="J9" s="7" t="inlineStr">
        <is>
          <t>是</t>
        </is>
      </c>
      <c r="K9" s="11">
        <f>MAX(0,C9-D9)</f>
        <v/>
      </c>
      <c r="L9" s="11">
        <f>IF(C9=0,0,D9/C9)</f>
        <v/>
      </c>
      <c r="M9" s="12">
        <f>IF(OR('01_今日输入'!$B$6="红",'01_今日输入'!$B$7="红",'01_今日输入'!$B$8&gt;=7,H9&lt;8),"暂停/降级",IF(AND(J9="是",K9&gt;0,L9&gt;=G9,'01_今日输入'!$B$8&lt;=4),"允许下一档",IF(AND(K9&gt;0,H9&gt;=8,'01_今日输入'!$B$8&lt;=5),"小额防踏空","等待")))</f>
        <v/>
      </c>
      <c r="N9" s="13">
        <f>IF(M9="允许下一档",MIN('01_今日输入'!$B$9*0.15,'01_今日输入'!$B$10*0.015),IF(M9="小额防踏空",MIN('01_今日输入'!$B$9*0.08,'01_今日输入'!$B$10*0.005),0))</f>
        <v/>
      </c>
      <c r="O9" s="9" t="inlineStr">
        <is>
          <t>不当现金安全垫</t>
        </is>
      </c>
    </row>
  </sheetData>
  <mergeCells count="2">
    <mergeCell ref="A1:O1"/>
    <mergeCell ref="A2:O2"/>
  </mergeCells>
  <conditionalFormatting sqref="M5:M100">
    <cfRule type="expression" priority="1" dxfId="0">
      <formula>M5="允许下一档"</formula>
    </cfRule>
    <cfRule type="expression" priority="2" dxfId="1">
      <formula>M5="小额防踏空"</formula>
    </cfRule>
    <cfRule type="expression" priority="3" dxfId="2">
      <formula>M5="暂停/降级"</formula>
    </cfRule>
  </conditionalFormatting>
  <dataValidations count="3">
    <dataValidation sqref="E5:E100" showDropDown="0" showInputMessage="0" showErrorMessage="0" allowBlank="1" type="list">
      <formula1>"观察池,观察仓,验证仓,核心仓,目标仓,防守仓"</formula1>
    </dataValidation>
    <dataValidation sqref="I5:I100" showDropDown="0" showInputMessage="0" showErrorMessage="0" allowBlank="1" type="list">
      <formula1>"等待,回踩确认,突破试探,止跌确认,持有不加,慢建"</formula1>
    </dataValidation>
    <dataValidation sqref="J5:J100" showDropDown="0" showInputMessage="0" showErrorMessage="0" allowBlank="1" type="list">
      <formula1>"是,否"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8" customWidth="1" min="4" max="4"/>
    <col width="28" customWidth="1" min="5" max="5"/>
    <col width="15" customWidth="1" min="6" max="6"/>
    <col width="15" customWidth="1" min="7" max="7"/>
    <col width="15" customWidth="1" min="8" max="8"/>
    <col width="28" customWidth="1" min="9" max="9"/>
    <col width="18" customWidth="1" min="10" max="10"/>
  </cols>
  <sheetData>
    <row r="1" ht="24" customHeight="1">
      <c r="A1" s="1" t="inlineStr">
        <is>
          <t>ETF执行计划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2" customHeight="1">
      <c r="A2" s="3" t="inlineStr">
        <is>
          <t>蓝字为可编辑输入；黑字为公式；本表只做纪律提醒，不构成自动交易指令。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优先级</t>
        </is>
      </c>
      <c r="B4" s="4" t="inlineStr">
        <is>
          <t>Code</t>
        </is>
      </c>
      <c r="C4" s="4" t="inlineStr">
        <is>
          <t>Name</t>
        </is>
      </c>
      <c r="D4" s="4" t="inlineStr">
        <is>
          <t>定位</t>
        </is>
      </c>
      <c r="E4" s="4" t="inlineStr">
        <is>
          <t>买点优先级</t>
        </is>
      </c>
      <c r="F4" s="4" t="inlineStr">
        <is>
          <t>第一笔</t>
        </is>
      </c>
      <c r="G4" s="4" t="inlineStr">
        <is>
          <t>第二笔</t>
        </is>
      </c>
      <c r="H4" s="4" t="inlineStr">
        <is>
          <t>第三笔</t>
        </is>
      </c>
      <c r="I4" s="4" t="inlineStr">
        <is>
          <t>失效条件</t>
        </is>
      </c>
      <c r="J4" s="4" t="inlineStr">
        <is>
          <t>下一复核</t>
        </is>
      </c>
    </row>
    <row r="5">
      <c r="A5" s="9" t="n">
        <v>1</v>
      </c>
      <c r="B5" s="5" t="inlineStr">
        <is>
          <t>159516</t>
        </is>
      </c>
      <c r="C5" s="5" t="inlineStr">
        <is>
          <t>半导体设备ETF</t>
        </is>
      </c>
      <c r="D5" s="5" t="inlineStr">
        <is>
          <t>第一核心候选</t>
        </is>
      </c>
      <c r="E5" s="5" t="inlineStr">
        <is>
          <t>回踩确认&gt;止跌确认&gt;突破试探</t>
        </is>
      </c>
      <c r="F5" s="5" t="inlineStr">
        <is>
          <t>观察/验证仓</t>
        </is>
      </c>
      <c r="G5" s="5" t="inlineStr">
        <is>
          <t>核心仓</t>
        </is>
      </c>
      <c r="H5" s="5" t="inlineStr">
        <is>
          <t>目标仓</t>
        </is>
      </c>
      <c r="I5" s="5" t="inlineStr">
        <is>
          <t>跌破确认位且无修复</t>
        </is>
      </c>
      <c r="J5" s="5" t="inlineStr">
        <is>
          <t>T+3/T+10/月末</t>
        </is>
      </c>
    </row>
    <row r="6">
      <c r="A6" s="9" t="n">
        <v>2</v>
      </c>
      <c r="B6" s="5" t="inlineStr">
        <is>
          <t>159381</t>
        </is>
      </c>
      <c r="C6" s="5" t="inlineStr">
        <is>
          <t>创业板人工智能ETF</t>
        </is>
      </c>
      <c r="D6" s="5" t="inlineStr">
        <is>
          <t>AI硬件增强仓</t>
        </is>
      </c>
      <c r="E6" s="5" t="inlineStr">
        <is>
          <t>回踩确认优先</t>
        </is>
      </c>
      <c r="F6" s="5" t="inlineStr">
        <is>
          <t>观察仓</t>
        </is>
      </c>
      <c r="G6" s="5" t="inlineStr">
        <is>
          <t>验证仓</t>
        </is>
      </c>
      <c r="H6" s="5" t="inlineStr">
        <is>
          <t>核心仓</t>
        </is>
      </c>
      <c r="I6" s="5" t="inlineStr">
        <is>
          <t>主线相对强度转弱</t>
        </is>
      </c>
      <c r="J6" s="5" t="inlineStr">
        <is>
          <t>T+3/T+10/月末</t>
        </is>
      </c>
    </row>
    <row r="7">
      <c r="A7" s="9" t="n">
        <v>3</v>
      </c>
      <c r="B7" s="5" t="inlineStr">
        <is>
          <t>562500</t>
        </is>
      </c>
      <c r="C7" s="5" t="inlineStr">
        <is>
          <t>机器人ETF</t>
        </is>
      </c>
      <c r="D7" s="5" t="inlineStr">
        <is>
          <t>核心持有</t>
        </is>
      </c>
      <c r="E7" s="5" t="inlineStr">
        <is>
          <t>止跌三步确认</t>
        </is>
      </c>
      <c r="F7" s="5" t="inlineStr">
        <is>
          <t>持有不加</t>
        </is>
      </c>
      <c r="G7" s="5" t="inlineStr">
        <is>
          <t>验证后再议</t>
        </is>
      </c>
      <c r="H7" s="5" t="inlineStr">
        <is>
          <t>目标仓</t>
        </is>
      </c>
      <c r="I7" s="5" t="inlineStr">
        <is>
          <t>强势追高或放量下跌</t>
        </is>
      </c>
      <c r="J7" s="5" t="inlineStr">
        <is>
          <t>月末</t>
        </is>
      </c>
    </row>
    <row r="8">
      <c r="A8" s="9" t="n">
        <v>4</v>
      </c>
      <c r="B8" s="5" t="inlineStr">
        <is>
          <t>588700</t>
        </is>
      </c>
      <c r="C8" s="5" t="inlineStr">
        <is>
          <t>创新药ETF</t>
        </is>
      </c>
      <c r="D8" s="5" t="inlineStr">
        <is>
          <t>核心观察</t>
        </is>
      </c>
      <c r="E8" s="5" t="inlineStr">
        <is>
          <t>二次确认</t>
        </is>
      </c>
      <c r="F8" s="5" t="inlineStr">
        <is>
          <t>观察仓</t>
        </is>
      </c>
      <c r="G8" s="5" t="inlineStr">
        <is>
          <t>验证仓</t>
        </is>
      </c>
      <c r="H8" s="5" t="inlineStr">
        <is>
          <t>核心仓</t>
        </is>
      </c>
      <c r="I8" s="5" t="inlineStr">
        <is>
          <t>政策/临床/资金任一证伪</t>
        </is>
      </c>
      <c r="J8" s="5" t="inlineStr">
        <is>
          <t>周度</t>
        </is>
      </c>
    </row>
    <row r="9">
      <c r="A9" s="9" t="n">
        <v>5</v>
      </c>
      <c r="B9" s="5" t="inlineStr">
        <is>
          <t>512890</t>
        </is>
      </c>
      <c r="C9" s="5" t="inlineStr">
        <is>
          <t>红利低波ETF</t>
        </is>
      </c>
      <c r="D9" s="5" t="inlineStr">
        <is>
          <t>低波权益</t>
        </is>
      </c>
      <c r="E9" s="5" t="inlineStr">
        <is>
          <t>慢建</t>
        </is>
      </c>
      <c r="F9" s="5" t="inlineStr">
        <is>
          <t>小额慢建</t>
        </is>
      </c>
      <c r="G9" s="5" t="inlineStr">
        <is>
          <t>月度再平衡</t>
        </is>
      </c>
      <c r="H9" s="5" t="inlineStr">
        <is>
          <t>目标仓</t>
        </is>
      </c>
      <c r="I9" s="5" t="inlineStr">
        <is>
          <t>不替代现金安全垫</t>
        </is>
      </c>
      <c r="J9" s="5" t="inlineStr">
        <is>
          <t>月末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30" customWidth="1" min="5" max="5"/>
    <col width="34" customWidth="1" min="6" max="6"/>
    <col width="14" customWidth="1" min="7" max="7"/>
    <col width="12" customWidth="1" min="8" max="8"/>
  </cols>
  <sheetData>
    <row r="1" ht="24" customHeight="1">
      <c r="A1" s="1" t="inlineStr">
        <is>
          <t>持仓风险与退出复核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>蓝字为可编辑输入；黑字为公式；本表只做纪律提醒，不构成自动交易指令。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风险级别</t>
        </is>
      </c>
      <c r="B4" s="4" t="inlineStr">
        <is>
          <t>Code</t>
        </is>
      </c>
      <c r="C4" s="4" t="inlineStr">
        <is>
          <t>Name</t>
        </is>
      </c>
      <c r="D4" s="4" t="inlineStr">
        <is>
          <t>当前定位</t>
        </is>
      </c>
      <c r="E4" s="4" t="inlineStr">
        <is>
          <t>触发原因</t>
        </is>
      </c>
      <c r="F4" s="4" t="inlineStr">
        <is>
          <t>动作建议</t>
        </is>
      </c>
      <c r="G4" s="4" t="inlineStr">
        <is>
          <t>是否允许加仓</t>
        </is>
      </c>
      <c r="H4" s="4" t="inlineStr">
        <is>
          <t>复核周期</t>
        </is>
      </c>
    </row>
    <row r="5">
      <c r="A5" s="5" t="inlineStr">
        <is>
          <t>红</t>
        </is>
      </c>
      <c r="B5" s="5" t="inlineStr">
        <is>
          <t>002594</t>
        </is>
      </c>
      <c r="C5" s="5" t="inlineStr">
        <is>
          <t>比亚迪</t>
        </is>
      </c>
      <c r="D5" s="5" t="inlineStr">
        <is>
          <t>2030战略观察仓</t>
        </is>
      </c>
      <c r="E5" s="5" t="inlineStr">
        <is>
          <t>超过普通非核心新增资格</t>
        </is>
      </c>
      <c r="F5" s="5" t="inlineStr">
        <is>
          <t>不追涨，按战略观察仓复核</t>
        </is>
      </c>
      <c r="G5" s="5" t="inlineStr">
        <is>
          <t>否</t>
        </is>
      </c>
      <c r="H5" s="5" t="inlineStr">
        <is>
          <t>月度</t>
        </is>
      </c>
    </row>
    <row r="6">
      <c r="A6" s="5" t="inlineStr">
        <is>
          <t>红</t>
        </is>
      </c>
      <c r="B6" s="5" t="inlineStr">
        <is>
          <t>516630</t>
        </is>
      </c>
      <c r="C6" s="5" t="inlineStr">
        <is>
          <t>云计算ETF</t>
        </is>
      </c>
      <c r="D6" s="5" t="inlineStr">
        <is>
          <t>泛AI降级观察</t>
        </is>
      </c>
      <c r="E6" s="5" t="inlineStr">
        <is>
          <t>非核心且目标为0</t>
        </is>
      </c>
      <c r="F6" s="5" t="inlineStr">
        <is>
          <t>反弹复审，不恢复加仓资格</t>
        </is>
      </c>
      <c r="G6" s="5" t="inlineStr">
        <is>
          <t>否</t>
        </is>
      </c>
      <c r="H6" s="5" t="inlineStr">
        <is>
          <t>周度</t>
        </is>
      </c>
    </row>
    <row r="7">
      <c r="A7" s="5" t="inlineStr">
        <is>
          <t>黄</t>
        </is>
      </c>
      <c r="B7" s="5" t="inlineStr">
        <is>
          <t>562550</t>
        </is>
      </c>
      <c r="C7" s="5" t="inlineStr">
        <is>
          <t>绿电ETF</t>
        </is>
      </c>
      <c r="D7" s="5" t="inlineStr">
        <is>
          <t>非核心保留仓</t>
        </is>
      </c>
      <c r="E7" s="5" t="inlineStr">
        <is>
          <t>遗留仓</t>
        </is>
      </c>
      <c r="F7" s="5" t="inlineStr">
        <is>
          <t>暂不新增，等待退出窗口</t>
        </is>
      </c>
      <c r="G7" s="5" t="inlineStr">
        <is>
          <t>否</t>
        </is>
      </c>
      <c r="H7" s="5" t="inlineStr">
        <is>
          <t>月度</t>
        </is>
      </c>
    </row>
    <row r="8">
      <c r="A8" s="5" t="inlineStr">
        <is>
          <t>黄</t>
        </is>
      </c>
      <c r="B8" s="5" t="inlineStr">
        <is>
          <t>688083</t>
        </is>
      </c>
      <c r="C8" s="5" t="inlineStr">
        <is>
          <t>中望软件</t>
        </is>
      </c>
      <c r="D8" s="5" t="inlineStr">
        <is>
          <t>遗留个股</t>
        </is>
      </c>
      <c r="E8" s="5" t="inlineStr">
        <is>
          <t>质量评分不足</t>
        </is>
      </c>
      <c r="F8" s="5" t="inlineStr">
        <is>
          <t>只做退出复审</t>
        </is>
      </c>
      <c r="G8" s="5" t="inlineStr">
        <is>
          <t>否</t>
        </is>
      </c>
      <c r="H8" s="5" t="inlineStr">
        <is>
          <t>周度</t>
        </is>
      </c>
    </row>
    <row r="9">
      <c r="A9" s="5" t="inlineStr">
        <is>
          <t>灰</t>
        </is>
      </c>
      <c r="B9" s="5" t="inlineStr">
        <is>
          <t>562500</t>
        </is>
      </c>
      <c r="C9" s="5" t="inlineStr">
        <is>
          <t>机器人ETF</t>
        </is>
      </c>
      <c r="D9" s="5" t="inlineStr">
        <is>
          <t>核心持有</t>
        </is>
      </c>
      <c r="E9" s="5" t="inlineStr">
        <is>
          <t>未触发减仓</t>
        </is>
      </c>
      <c r="F9" s="5" t="inlineStr">
        <is>
          <t>持有不加，等待阶段验证</t>
        </is>
      </c>
      <c r="G9" s="5" t="inlineStr">
        <is>
          <t>条件满足后</t>
        </is>
      </c>
      <c r="H9" s="5" t="inlineStr">
        <is>
          <t>月度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6" customWidth="1" min="6" max="6"/>
    <col width="34" customWidth="1" min="7" max="7"/>
    <col width="18" customWidth="1" min="8" max="8"/>
    <col width="18" customWidth="1" min="9" max="9"/>
    <col width="18" customWidth="1" min="10" max="10"/>
    <col width="18" customWidth="1" min="11" max="11"/>
    <col width="30" customWidth="1" min="12" max="12"/>
  </cols>
  <sheetData>
    <row r="1" ht="24" customHeight="1">
      <c r="A1" s="1" t="inlineStr">
        <is>
          <t>交易复盘日志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2" customHeight="1">
      <c r="A2" s="3" t="inlineStr">
        <is>
          <t>蓝字为可编辑输入；黑字为公式；本表只做纪律提醒，不构成自动交易指令。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日期</t>
        </is>
      </c>
      <c r="B4" s="4" t="inlineStr">
        <is>
          <t>Code</t>
        </is>
      </c>
      <c r="C4" s="4" t="inlineStr">
        <is>
          <t>Name</t>
        </is>
      </c>
      <c r="D4" s="4" t="inlineStr">
        <is>
          <t>动作</t>
        </is>
      </c>
      <c r="E4" s="4" t="inlineStr">
        <is>
          <t>金额</t>
        </is>
      </c>
      <c r="F4" s="4" t="inlineStr">
        <is>
          <t>买点类型</t>
        </is>
      </c>
      <c r="G4" s="4" t="inlineStr">
        <is>
          <t>执行依据</t>
        </is>
      </c>
      <c r="H4" s="4" t="inlineStr">
        <is>
          <t>确认位/失效位</t>
        </is>
      </c>
      <c r="I4" s="4" t="inlineStr">
        <is>
          <t>T+3结果</t>
        </is>
      </c>
      <c r="J4" s="4" t="inlineStr">
        <is>
          <t>T+10结果</t>
        </is>
      </c>
      <c r="K4" s="4" t="inlineStr">
        <is>
          <t>月末结论</t>
        </is>
      </c>
      <c r="L4" s="4" t="inlineStr">
        <is>
          <t>改进项</t>
        </is>
      </c>
    </row>
    <row r="5">
      <c r="A5" s="14" t="n"/>
      <c r="B5" s="15" t="n"/>
      <c r="C5" s="15" t="n"/>
      <c r="D5" s="15" t="n"/>
      <c r="E5" s="16" t="n"/>
      <c r="F5" s="15" t="n"/>
      <c r="G5" s="15" t="n"/>
      <c r="H5" s="15" t="n"/>
      <c r="I5" s="15" t="n"/>
      <c r="J5" s="15" t="n"/>
      <c r="K5" s="15" t="n"/>
      <c r="L5" s="15" t="n"/>
    </row>
    <row r="6">
      <c r="A6" s="14" t="n"/>
      <c r="B6" s="15" t="n"/>
      <c r="C6" s="15" t="n"/>
      <c r="D6" s="15" t="n"/>
      <c r="E6" s="16" t="n"/>
      <c r="F6" s="15" t="n"/>
      <c r="G6" s="15" t="n"/>
      <c r="H6" s="15" t="n"/>
      <c r="I6" s="15" t="n"/>
      <c r="J6" s="15" t="n"/>
      <c r="K6" s="15" t="n"/>
      <c r="L6" s="15" t="n"/>
    </row>
    <row r="7">
      <c r="A7" s="14" t="n"/>
      <c r="B7" s="15" t="n"/>
      <c r="C7" s="15" t="n"/>
      <c r="D7" s="15" t="n"/>
      <c r="E7" s="16" t="n"/>
      <c r="F7" s="15" t="n"/>
      <c r="G7" s="15" t="n"/>
      <c r="H7" s="15" t="n"/>
      <c r="I7" s="15" t="n"/>
      <c r="J7" s="15" t="n"/>
      <c r="K7" s="15" t="n"/>
      <c r="L7" s="15" t="n"/>
    </row>
    <row r="8">
      <c r="A8" s="14" t="n"/>
      <c r="B8" s="15" t="n"/>
      <c r="C8" s="15" t="n"/>
      <c r="D8" s="15" t="n"/>
      <c r="E8" s="16" t="n"/>
      <c r="F8" s="15" t="n"/>
      <c r="G8" s="15" t="n"/>
      <c r="H8" s="15" t="n"/>
      <c r="I8" s="15" t="n"/>
      <c r="J8" s="15" t="n"/>
      <c r="K8" s="15" t="n"/>
      <c r="L8" s="15" t="n"/>
    </row>
    <row r="9">
      <c r="A9" s="14" t="n"/>
      <c r="B9" s="15" t="n"/>
      <c r="C9" s="15" t="n"/>
      <c r="D9" s="15" t="n"/>
      <c r="E9" s="16" t="n"/>
      <c r="F9" s="15" t="n"/>
      <c r="G9" s="15" t="n"/>
      <c r="H9" s="15" t="n"/>
      <c r="I9" s="15" t="n"/>
      <c r="J9" s="15" t="n"/>
      <c r="K9" s="15" t="n"/>
      <c r="L9" s="15" t="n"/>
    </row>
    <row r="10">
      <c r="A10" s="14" t="n"/>
      <c r="B10" s="15" t="n"/>
      <c r="C10" s="15" t="n"/>
      <c r="D10" s="15" t="n"/>
      <c r="E10" s="16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4" t="n"/>
      <c r="B11" s="15" t="n"/>
      <c r="C11" s="15" t="n"/>
      <c r="D11" s="15" t="n"/>
      <c r="E11" s="16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4" t="n"/>
      <c r="B12" s="15" t="n"/>
      <c r="C12" s="15" t="n"/>
      <c r="D12" s="15" t="n"/>
      <c r="E12" s="16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4" t="n"/>
      <c r="B13" s="15" t="n"/>
      <c r="C13" s="15" t="n"/>
      <c r="D13" s="15" t="n"/>
      <c r="E13" s="16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4" t="n"/>
      <c r="B14" s="15" t="n"/>
      <c r="C14" s="15" t="n"/>
      <c r="D14" s="15" t="n"/>
      <c r="E14" s="16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4" t="n"/>
      <c r="B15" s="15" t="n"/>
      <c r="C15" s="15" t="n"/>
      <c r="D15" s="15" t="n"/>
      <c r="E15" s="16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4" t="n"/>
      <c r="B16" s="15" t="n"/>
      <c r="C16" s="15" t="n"/>
      <c r="D16" s="15" t="n"/>
      <c r="E16" s="16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4" t="n"/>
      <c r="B17" s="15" t="n"/>
      <c r="C17" s="15" t="n"/>
      <c r="D17" s="15" t="n"/>
      <c r="E17" s="16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4" t="n"/>
      <c r="B18" s="15" t="n"/>
      <c r="C18" s="15" t="n"/>
      <c r="D18" s="15" t="n"/>
      <c r="E18" s="16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4" t="n"/>
      <c r="B19" s="15" t="n"/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4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4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4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4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4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</row>
  </sheetData>
  <mergeCells count="2">
    <mergeCell ref="A2:L2"/>
    <mergeCell ref="A1:L1"/>
  </mergeCells>
  <dataValidations count="1">
    <dataValidation sqref="D5:D100" showDropDown="0" showInputMessage="0" showErrorMessage="0" allowBlank="1" type="list">
      <formula1>"买入,加仓,减仓,暂停,复盘"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2" customWidth="1" min="3" max="3"/>
  </cols>
  <sheetData>
    <row r="1" ht="24" customHeight="1">
      <c r="A1" s="1" t="inlineStr">
        <is>
          <t>检查项</t>
        </is>
      </c>
      <c r="B1" s="2" t="n"/>
      <c r="C1" s="2" t="n"/>
    </row>
    <row r="2" ht="32" customHeight="1">
      <c r="A2" s="3" t="inlineStr">
        <is>
          <t>蓝字为可编辑输入；黑字为公式；本表只做纪律提醒，不构成自动交易指令。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检查项</t>
        </is>
      </c>
      <c r="B4" s="4" t="inlineStr">
        <is>
          <t>结果</t>
        </is>
      </c>
      <c r="C4" s="4" t="inlineStr">
        <is>
          <t>说明</t>
        </is>
      </c>
    </row>
    <row r="5">
      <c r="A5" s="17" t="inlineStr">
        <is>
          <t>公式错误</t>
        </is>
      </c>
      <c r="B5" s="17">
        <f>IF(COUNTIF('03_阶段推进'!K5:N100,"#VALUE!")+COUNTIF('03_阶段推进'!K5:N100,"#REF!")=0,"OK","检查公式")</f>
        <v/>
      </c>
      <c r="C5" s="17" t="inlineStr">
        <is>
          <t>主要公式区域不应出现错误。</t>
        </is>
      </c>
    </row>
    <row r="6">
      <c r="A6" s="17" t="inlineStr">
        <is>
          <t>现金安全垫</t>
        </is>
      </c>
      <c r="B6" s="17">
        <f>IF('01_今日输入'!B11="是","OK","暂停新增")</f>
        <v/>
      </c>
      <c r="C6" s="17" t="inlineStr">
        <is>
          <t>现金安全垫未达标则不新增。</t>
        </is>
      </c>
    </row>
    <row r="7">
      <c r="A7" s="17" t="inlineStr">
        <is>
          <t>情绪温度</t>
        </is>
      </c>
      <c r="B7" s="17">
        <f>IF('01_今日输入'!B8&lt;7,"OK","暂停新增")</f>
        <v/>
      </c>
      <c r="C7" s="17" t="inlineStr">
        <is>
          <t>情绪温度≥7 时暂停新增。</t>
        </is>
      </c>
    </row>
    <row r="8">
      <c r="A8" s="17" t="inlineStr">
        <is>
          <t>今日买入方向上限</t>
        </is>
      </c>
      <c r="B8" s="17">
        <f>IF('01_今日输入'!B12&lt;=1,"OK","调整为最多1个")</f>
        <v/>
      </c>
      <c r="C8" s="17" t="inlineStr">
        <is>
          <t>避免一天同时追多个方向。</t>
        </is>
      </c>
    </row>
  </sheetData>
  <mergeCells count="2">
    <mergeCell ref="A1:C1"/>
    <mergeCell ref="A2:C2"/>
  </mergeCells>
  <conditionalFormatting sqref="B5:B8">
    <cfRule type="cellIs" priority="1" operator="equal" dxfId="0">
      <formula>"OK"</formula>
    </cfRule>
    <cfRule type="expression" priority="2" dxfId="2">
      <formula>B5&lt;&gt;"OK"</formula>
    </cfRule>
  </conditionalFormatting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2026-06-30T13:00:32Z</dcterms:created>
  <dcterms:modified xmlns:dcterms="http://purl.org/dc/terms/" xmlns:xsi="http://www.w3.org/2001/XMLSchema-instance" xsi:type="dcterms:W3CDTF">2026-06-30T13:00:32Z</dcterms:modified>
</cp:coreProperties>
</file>