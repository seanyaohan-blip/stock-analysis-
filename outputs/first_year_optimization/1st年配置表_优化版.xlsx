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https://d.docs.live.net/4b7b6eadd1e42ece/V284_ETF_Dashboard/outputs/first_year_optimization/"/>
    </mc:Choice>
  </mc:AlternateContent>
  <xr:revisionPtr revIDLastSave="1" documentId="11_B7248B23947ECFF9892CA7A4913532F2C40BCA29" xr6:coauthVersionLast="47" xr6:coauthVersionMax="47" xr10:uidLastSave="{53376C4A-AE30-4142-9A36-BACC1DED2D66}"/>
  <bookViews>
    <workbookView xWindow="0" yWindow="680" windowWidth="29400" windowHeight="17300" activeTab="1" xr2:uid="{00000000-000D-0000-FFFF-FFFF00000000}"/>
  </bookViews>
  <sheets>
    <sheet name="Summary" sheetId="1" r:id="rId1"/>
    <sheet name="Allocation" sheetId="2" r:id="rId2"/>
    <sheet name="Mapping" sheetId="3" r:id="rId3"/>
    <sheet name="Rules" sheetId="4" r:id="rId4"/>
    <sheet name="Sources_Audit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5" l="1"/>
  <c r="J6" i="5"/>
  <c r="J3" i="5"/>
  <c r="O12" i="2"/>
  <c r="H12" i="2"/>
  <c r="I12" i="5" s="1"/>
  <c r="G12" i="2"/>
  <c r="J12" i="5" s="1"/>
  <c r="O11" i="2"/>
  <c r="H11" i="2"/>
  <c r="I11" i="5" s="1"/>
  <c r="G11" i="2"/>
  <c r="J11" i="5" s="1"/>
  <c r="H10" i="2"/>
  <c r="I10" i="5" s="1"/>
  <c r="G10" i="2"/>
  <c r="K10" i="2" s="1"/>
  <c r="H9" i="2"/>
  <c r="I9" i="5" s="1"/>
  <c r="G9" i="2"/>
  <c r="J9" i="5" s="1"/>
  <c r="H8" i="2"/>
  <c r="I8" i="5" s="1"/>
  <c r="G8" i="2"/>
  <c r="K8" i="2" s="1"/>
  <c r="H7" i="2"/>
  <c r="I7" i="5" s="1"/>
  <c r="G7" i="2"/>
  <c r="H6" i="2"/>
  <c r="I6" i="5" s="1"/>
  <c r="G6" i="2"/>
  <c r="K6" i="2" s="1"/>
  <c r="H5" i="2"/>
  <c r="B7" i="1" s="1"/>
  <c r="G5" i="2"/>
  <c r="J5" i="5" s="1"/>
  <c r="H4" i="2"/>
  <c r="I4" i="5" s="1"/>
  <c r="G4" i="2"/>
  <c r="K4" i="2" s="1"/>
  <c r="H3" i="2"/>
  <c r="K3" i="2" s="1"/>
  <c r="G3" i="2"/>
  <c r="H2" i="2"/>
  <c r="I2" i="5" s="1"/>
  <c r="G2" i="2"/>
  <c r="J2" i="5" s="1"/>
  <c r="B6" i="1"/>
  <c r="B5" i="1"/>
  <c r="B10" i="1" s="1"/>
  <c r="B9" i="1" l="1"/>
  <c r="B8" i="1"/>
  <c r="J3" i="2"/>
  <c r="O3" i="2" s="1"/>
  <c r="J5" i="2"/>
  <c r="J7" i="2"/>
  <c r="O7" i="2" s="1"/>
  <c r="J9" i="2"/>
  <c r="O9" i="2" s="1"/>
  <c r="J11" i="2"/>
  <c r="I3" i="5"/>
  <c r="J8" i="5"/>
  <c r="K5" i="2"/>
  <c r="K7" i="2"/>
  <c r="K9" i="2"/>
  <c r="K11" i="2"/>
  <c r="J4" i="5"/>
  <c r="I5" i="5"/>
  <c r="J2" i="2"/>
  <c r="O2" i="2" s="1"/>
  <c r="J4" i="2"/>
  <c r="O4" i="2" s="1"/>
  <c r="J6" i="2"/>
  <c r="O6" i="2" s="1"/>
  <c r="J8" i="2"/>
  <c r="O8" i="2" s="1"/>
  <c r="J10" i="2"/>
  <c r="O10" i="2" s="1"/>
  <c r="J12" i="2"/>
  <c r="J10" i="5"/>
  <c r="K2" i="2"/>
  <c r="K12" i="2"/>
  <c r="O5" i="2" l="1"/>
</calcChain>
</file>

<file path=xl/sharedStrings.xml><?xml version="1.0" encoding="utf-8"?>
<sst xmlns="http://schemas.openxmlformats.org/spreadsheetml/2006/main" count="238" uniqueCount="155">
  <si>
    <t>第一年度全资产配置总览</t>
  </si>
  <si>
    <t>指标</t>
  </si>
  <si>
    <t>数值</t>
  </si>
  <si>
    <t>当前全资产基准（元）</t>
  </si>
  <si>
    <t>第一年目标配置比例</t>
  </si>
  <si>
    <t>第一年动态目标金额（元）</t>
  </si>
  <si>
    <t>当前已映射金额（元）</t>
  </si>
  <si>
    <t>年度资金缺口（元）</t>
  </si>
  <si>
    <t>年度完成率</t>
  </si>
  <si>
    <t>未配置目标比例</t>
  </si>
  <si>
    <t>口径说明：第一年配置使用全资产口径；证券账户目标继续作为集中度硬约束。年度资金缺口只代表长期规划空间，不构成当日买入信号。目标收益为观察区间，不是承诺收益。</t>
  </si>
  <si>
    <t>配置键</t>
  </si>
  <si>
    <t>配置项</t>
  </si>
  <si>
    <t>资产层级</t>
  </si>
  <si>
    <t>年度目标占比</t>
  </si>
  <si>
    <t>映射代码</t>
  </si>
  <si>
    <t>配置表目标金额</t>
  </si>
  <si>
    <t>动态目标金额</t>
  </si>
  <si>
    <t>当前金额</t>
  </si>
  <si>
    <t>配置表当前金额约</t>
  </si>
  <si>
    <t>年度资金缺口</t>
  </si>
  <si>
    <t>目标收益下限</t>
  </si>
  <si>
    <t>目标收益上限</t>
  </si>
  <si>
    <t>配置状态</t>
  </si>
  <si>
    <t>进度状态</t>
  </si>
  <si>
    <t>执行约束</t>
  </si>
  <si>
    <t>来源</t>
  </si>
  <si>
    <t>semiconductor</t>
  </si>
  <si>
    <t>半导体设备ETF 159516</t>
  </si>
  <si>
    <t>第一核心成长</t>
  </si>
  <si>
    <t>159516</t>
  </si>
  <si>
    <t>按分析结果调整</t>
  </si>
  <si>
    <t>完整质量评分+双锚+情绪+六项买点+证券账户上限</t>
  </si>
  <si>
    <t>1st年配置表.xlsx</t>
  </si>
  <si>
    <t>robotics</t>
  </si>
  <si>
    <t>机器人ETF 562500</t>
  </si>
  <si>
    <t>核心成长</t>
  </si>
  <si>
    <t>562500</t>
  </si>
  <si>
    <t>完整质量评分+持有不加纪律+证券账户上限</t>
  </si>
  <si>
    <t>chinext_ai</t>
  </si>
  <si>
    <t>创业板人工智能ETF 159381</t>
  </si>
  <si>
    <t>159381</t>
  </si>
  <si>
    <t>innovative_medicine</t>
  </si>
  <si>
    <t>创新药ETF</t>
  </si>
  <si>
    <t>核心观察</t>
  </si>
  <si>
    <t>588700</t>
  </si>
  <si>
    <t>待建仓</t>
  </si>
  <si>
    <t>四证据模型+价格提醒后二次确认+证券账户上限</t>
  </si>
  <si>
    <t>new_energy_legacy</t>
  </si>
  <si>
    <t>比亚迪+绿电+储能</t>
  </si>
  <si>
    <t>非核心成长保留</t>
  </si>
  <si>
    <t>002594|562550|159566</t>
  </si>
  <si>
    <t>遗留仓不加仓；以压降和结构优化为主</t>
  </si>
  <si>
    <t>cloud_transition</t>
  </si>
  <si>
    <t>云计算ETF</t>
  </si>
  <si>
    <t>观察/过渡仓</t>
  </si>
  <si>
    <t>516630</t>
  </si>
  <si>
    <t>战术仓纪律+完整质量评分+证券账户上限</t>
  </si>
  <si>
    <t>a500_low_vol</t>
  </si>
  <si>
    <t>中证A500ETF</t>
  </si>
  <si>
    <t>低波权益</t>
  </si>
  <si>
    <t>159338|510210</t>
  </si>
  <si>
    <t>宽基合并统计；避免A500与上证ETF重复暴露</t>
  </si>
  <si>
    <t>dividend_low_vol</t>
  </si>
  <si>
    <t>红利低波ETF</t>
  </si>
  <si>
    <t>512890</t>
  </si>
  <si>
    <t>不计入现金安全垫；遵守买点与账户上限</t>
  </si>
  <si>
    <t>convertible_bond</t>
  </si>
  <si>
    <t>可转债ETF</t>
  </si>
  <si>
    <t>弹性低波</t>
  </si>
  <si>
    <t>511180</t>
  </si>
  <si>
    <t>不计入现金安全垫；分批配置</t>
  </si>
  <si>
    <t>tactical_opportunity</t>
  </si>
  <si>
    <t>战术机会仓</t>
  </si>
  <si>
    <t>战术仓</t>
  </si>
  <si>
    <t>待选</t>
  </si>
  <si>
    <t>单日仅一个买入方向；严格止损与退出</t>
  </si>
  <si>
    <t>quality_stock_basket</t>
  </si>
  <si>
    <t>AI/半导体高质量个股篮子</t>
  </si>
  <si>
    <t>战略成长</t>
  </si>
  <si>
    <t>个股质量评分≥8；单股穿透与止损上限</t>
  </si>
  <si>
    <t>代码</t>
  </si>
  <si>
    <t>名称</t>
  </si>
  <si>
    <t>当前市值</t>
  </si>
  <si>
    <t>半导体设备ETF</t>
  </si>
  <si>
    <t>机器人ETF</t>
  </si>
  <si>
    <t>创业板人工智能ETF</t>
  </si>
  <si>
    <t>未持有</t>
  </si>
  <si>
    <t>002594</t>
  </si>
  <si>
    <t>比亚迪</t>
  </si>
  <si>
    <t>562550</t>
  </si>
  <si>
    <t>绿电ETF</t>
  </si>
  <si>
    <t>159566</t>
  </si>
  <si>
    <t>储能电池ETF</t>
  </si>
  <si>
    <t>159338</t>
  </si>
  <si>
    <t>510210</t>
  </si>
  <si>
    <t>上证ETF</t>
  </si>
  <si>
    <t>规则模块</t>
  </si>
  <si>
    <t>规则</t>
  </si>
  <si>
    <t>定义</t>
  </si>
  <si>
    <t>执行含义</t>
  </si>
  <si>
    <t>双口径</t>
  </si>
  <si>
    <t>第一年配置</t>
  </si>
  <si>
    <t>全资产目标占比与金额</t>
  </si>
  <si>
    <t>决定长期规划上限</t>
  </si>
  <si>
    <t>证券账户目标</t>
  </si>
  <si>
    <t>单只持仓集中度目标</t>
  </si>
  <si>
    <t>达到/超过时仍可一票否决新增</t>
  </si>
  <si>
    <t>年度配置</t>
  </si>
  <si>
    <t>资金缺口</t>
  </si>
  <si>
    <t>动态目标金额减当前映射金额</t>
  </si>
  <si>
    <t>不是买入信号</t>
  </si>
  <si>
    <t>质量准入</t>
  </si>
  <si>
    <t>完整评分</t>
  </si>
  <si>
    <t>ETF/个股需完整10分评分与证据</t>
  </si>
  <si>
    <t>缺失时禁止新增</t>
  </si>
  <si>
    <t>买点过滤</t>
  </si>
  <si>
    <t>标准首批</t>
  </si>
  <si>
    <t>六项通过至少5项且无否决</t>
  </si>
  <si>
    <t>仅进入复核</t>
  </si>
  <si>
    <t>情绪纪律</t>
  </si>
  <si>
    <t>4级及以上</t>
  </si>
  <si>
    <t>火热/狂热</t>
  </si>
  <si>
    <t>暂停新增</t>
  </si>
  <si>
    <t>执行纪律</t>
  </si>
  <si>
    <t>单日上限</t>
  </si>
  <si>
    <t>一个买入方向+两个卖出/减仓方向</t>
  </si>
  <si>
    <t>系统性风险日只做风控</t>
  </si>
  <si>
    <t>数据项</t>
  </si>
  <si>
    <t>值/范围</t>
  </si>
  <si>
    <t>单位</t>
  </si>
  <si>
    <t>截至日期</t>
  </si>
  <si>
    <t>备注</t>
  </si>
  <si>
    <t>动态目标</t>
  </si>
  <si>
    <t>当前全资产总额</t>
  </si>
  <si>
    <t>元</t>
  </si>
  <si>
    <t>持仓截图日期</t>
  </si>
  <si>
    <t>positions.csv</t>
  </si>
  <si>
    <t>用于动态重算年度目标金额</t>
  </si>
  <si>
    <t>证券账户总市值</t>
  </si>
  <si>
    <t>用于持仓勾稽</t>
  </si>
  <si>
    <t>第一年配置比例</t>
  </si>
  <si>
    <t>58%</t>
  </si>
  <si>
    <t>%</t>
  </si>
  <si>
    <t>来源未标注</t>
  </si>
  <si>
    <t>其余42%需保留为未配置/现金/防御空间</t>
  </si>
  <si>
    <t>目标收益区间</t>
  </si>
  <si>
    <t>5%-35%</t>
  </si>
  <si>
    <t>观察区间，不是收益承诺</t>
  </si>
  <si>
    <t>映射与约束</t>
  </si>
  <si>
    <t>11项配置</t>
  </si>
  <si>
    <t>项</t>
  </si>
  <si>
    <t>本次优化</t>
  </si>
  <si>
    <t>first_year_allocation.csv</t>
  </si>
  <si>
    <t>维护代码映射与执行约束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</si>
</sst>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;[Red]\(#,##0\);\-"/>
    <numFmt numFmtId="177" formatCode="0.0%"/>
  </numFmts>
  <fonts count="8">
    <font>
      <sz val="11"/>
      <name val="Carlito"/>
    </font>
    <font>
      <b/>
      <sz val="18"/>
      <color rgb="FFFFFFFF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8000"/>
      <name val="Carlito"/>
    </font>
    <font>
      <sz val="11"/>
      <color rgb="FF000000"/>
      <name val="Carlito"/>
    </font>
    <font>
      <sz val="11"/>
      <name val="Carlito"/>
    </font>
    <font>
      <sz val="9"/>
      <name val="FangSong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2F4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22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0" borderId="0" xfId="1" applyFont="1"/>
    <xf numFmtId="176" fontId="3" fillId="0" borderId="0" xfId="1" applyNumberFormat="1" applyFont="1"/>
    <xf numFmtId="177" fontId="4" fillId="0" borderId="0" xfId="1" applyNumberFormat="1" applyFont="1"/>
    <xf numFmtId="176" fontId="4" fillId="0" borderId="0" xfId="1" applyNumberFormat="1" applyFont="1"/>
    <xf numFmtId="176" fontId="5" fillId="0" borderId="0" xfId="1" applyNumberFormat="1" applyFont="1"/>
    <xf numFmtId="177" fontId="5" fillId="0" borderId="0" xfId="1" applyNumberFormat="1" applyFont="1"/>
    <xf numFmtId="0" fontId="3" fillId="0" borderId="0" xfId="1" applyFont="1" applyAlignment="1">
      <alignment wrapText="1"/>
    </xf>
    <xf numFmtId="177" fontId="3" fillId="0" borderId="0" xfId="1" applyNumberFormat="1" applyFont="1" applyAlignment="1">
      <alignment wrapText="1"/>
    </xf>
    <xf numFmtId="176" fontId="3" fillId="0" borderId="0" xfId="1" applyNumberFormat="1" applyFont="1" applyAlignment="1">
      <alignment wrapText="1"/>
    </xf>
    <xf numFmtId="176" fontId="4" fillId="0" borderId="0" xfId="1" applyNumberFormat="1" applyFont="1" applyAlignment="1">
      <alignment wrapText="1"/>
    </xf>
    <xf numFmtId="176" fontId="0" fillId="0" borderId="0" xfId="1" applyNumberFormat="1" applyFont="1" applyAlignment="1">
      <alignment wrapText="1"/>
    </xf>
    <xf numFmtId="176" fontId="5" fillId="0" borderId="0" xfId="1" applyNumberFormat="1" applyFont="1" applyAlignment="1">
      <alignment wrapText="1"/>
    </xf>
    <xf numFmtId="177" fontId="5" fillId="0" borderId="0" xfId="1" applyNumberFormat="1" applyFont="1" applyAlignment="1">
      <alignment wrapText="1"/>
    </xf>
    <xf numFmtId="0" fontId="5" fillId="0" borderId="0" xfId="1" applyFont="1" applyAlignment="1">
      <alignment wrapText="1"/>
    </xf>
    <xf numFmtId="0" fontId="0" fillId="0" borderId="0" xfId="1" applyFont="1" applyAlignment="1">
      <alignment wrapText="1"/>
    </xf>
    <xf numFmtId="3" fontId="0" fillId="0" borderId="0" xfId="1" applyNumberFormat="1" applyFont="1"/>
    <xf numFmtId="0" fontId="2" fillId="4" borderId="0" xfId="1" applyFont="1" applyFill="1" applyAlignment="1">
      <alignment horizontal="center" vertical="center" wrapText="1"/>
    </xf>
    <xf numFmtId="0" fontId="0" fillId="4" borderId="0" xfId="1" applyFont="1" applyFill="1"/>
    <xf numFmtId="0" fontId="1" fillId="2" borderId="0" xfId="1" applyFont="1" applyFill="1"/>
    <xf numFmtId="0" fontId="0" fillId="3" borderId="0" xfId="1" applyFont="1" applyFill="1" applyAlignment="1">
      <alignment vertical="center" wrapText="1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zh-CN" altLang="en-US"/>
              <a:t>第一年配置：当前金额与动态目标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当前金额</c:v>
          </c:tx>
          <c:invertIfNegative val="1"/>
          <c:cat>
            <c:strRef>
              <c:f>Sources_Audit!$H$2:$H$12</c:f>
              <c:strCache>
                <c:ptCount val="11"/>
                <c:pt idx="0">
                  <c:v>半导体设备ETF 159516</c:v>
                </c:pt>
                <c:pt idx="1">
                  <c:v>机器人ETF 562500</c:v>
                </c:pt>
                <c:pt idx="2">
                  <c:v>创业板人工智能ETF 159381</c:v>
                </c:pt>
                <c:pt idx="3">
                  <c:v>创新药ETF</c:v>
                </c:pt>
                <c:pt idx="4">
                  <c:v>比亚迪+绿电+储能</c:v>
                </c:pt>
                <c:pt idx="5">
                  <c:v>云计算ETF</c:v>
                </c:pt>
                <c:pt idx="6">
                  <c:v>中证A500ETF</c:v>
                </c:pt>
                <c:pt idx="7">
                  <c:v>红利低波ETF</c:v>
                </c:pt>
                <c:pt idx="8">
                  <c:v>可转债ETF</c:v>
                </c:pt>
                <c:pt idx="9">
                  <c:v>战术机会仓</c:v>
                </c:pt>
                <c:pt idx="10">
                  <c:v>AI/半导体高质量个股篮子</c:v>
                </c:pt>
              </c:strCache>
            </c:strRef>
          </c:cat>
          <c:val>
            <c:numRef>
              <c:f>Sources_Audit!$I$2:$I$12</c:f>
              <c:numCache>
                <c:formatCode>#,##0</c:formatCode>
                <c:ptCount val="11"/>
                <c:pt idx="0">
                  <c:v>60640</c:v>
                </c:pt>
                <c:pt idx="1">
                  <c:v>139459.20000000001</c:v>
                </c:pt>
                <c:pt idx="2">
                  <c:v>21675</c:v>
                </c:pt>
                <c:pt idx="3">
                  <c:v>0</c:v>
                </c:pt>
                <c:pt idx="4">
                  <c:v>191942.39999999999</c:v>
                </c:pt>
                <c:pt idx="5">
                  <c:v>63344</c:v>
                </c:pt>
                <c:pt idx="6">
                  <c:v>109274.2</c:v>
                </c:pt>
                <c:pt idx="7">
                  <c:v>42370</c:v>
                </c:pt>
                <c:pt idx="8">
                  <c:v>38499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BF-CF43-8E4F-EEB59C7E0551}"/>
            </c:ext>
          </c:extLst>
        </c:ser>
        <c:ser>
          <c:idx val="1"/>
          <c:order val="1"/>
          <c:tx>
            <c:v>动态目标</c:v>
          </c:tx>
          <c:invertIfNegative val="1"/>
          <c:cat>
            <c:strRef>
              <c:f>Sources_Audit!$H$2:$H$12</c:f>
              <c:strCache>
                <c:ptCount val="11"/>
                <c:pt idx="0">
                  <c:v>半导体设备ETF 159516</c:v>
                </c:pt>
                <c:pt idx="1">
                  <c:v>机器人ETF 562500</c:v>
                </c:pt>
                <c:pt idx="2">
                  <c:v>创业板人工智能ETF 159381</c:v>
                </c:pt>
                <c:pt idx="3">
                  <c:v>创新药ETF</c:v>
                </c:pt>
                <c:pt idx="4">
                  <c:v>比亚迪+绿电+储能</c:v>
                </c:pt>
                <c:pt idx="5">
                  <c:v>云计算ETF</c:v>
                </c:pt>
                <c:pt idx="6">
                  <c:v>中证A500ETF</c:v>
                </c:pt>
                <c:pt idx="7">
                  <c:v>红利低波ETF</c:v>
                </c:pt>
                <c:pt idx="8">
                  <c:v>可转债ETF</c:v>
                </c:pt>
                <c:pt idx="9">
                  <c:v>战术机会仓</c:v>
                </c:pt>
                <c:pt idx="10">
                  <c:v>AI/半导体高质量个股篮子</c:v>
                </c:pt>
              </c:strCache>
            </c:strRef>
          </c:cat>
          <c:val>
            <c:numRef>
              <c:f>Sources_Audit!$J$2:$J$12</c:f>
              <c:numCache>
                <c:formatCode>#,##0</c:formatCode>
                <c:ptCount val="11"/>
                <c:pt idx="0">
                  <c:v>382640</c:v>
                </c:pt>
                <c:pt idx="1">
                  <c:v>382640</c:v>
                </c:pt>
                <c:pt idx="2">
                  <c:v>286980</c:v>
                </c:pt>
                <c:pt idx="3">
                  <c:v>95660</c:v>
                </c:pt>
                <c:pt idx="4">
                  <c:v>143490</c:v>
                </c:pt>
                <c:pt idx="5">
                  <c:v>143490</c:v>
                </c:pt>
                <c:pt idx="6">
                  <c:v>382640</c:v>
                </c:pt>
                <c:pt idx="7">
                  <c:v>239150</c:v>
                </c:pt>
                <c:pt idx="8">
                  <c:v>478300</c:v>
                </c:pt>
                <c:pt idx="9">
                  <c:v>143490</c:v>
                </c:pt>
                <c:pt idx="10">
                  <c:v>95660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BF-CF43-8E4F-EEB59C7E05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7239000" cy="409575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irstYearAllocationTable" displayName="FirstYearAllocationTable" ref="A1:Q12">
  <tableColumns count="17">
    <tableColumn id="1" xr3:uid="{00000000-0010-0000-0000-000001000000}" name="配置键"/>
    <tableColumn id="2" xr3:uid="{00000000-0010-0000-0000-000002000000}" name="配置项"/>
    <tableColumn id="3" xr3:uid="{00000000-0010-0000-0000-000003000000}" name="资产层级"/>
    <tableColumn id="4" xr3:uid="{00000000-0010-0000-0000-000004000000}" name="年度目标占比"/>
    <tableColumn id="5" xr3:uid="{00000000-0010-0000-0000-000005000000}" name="映射代码"/>
    <tableColumn id="6" xr3:uid="{00000000-0010-0000-0000-000006000000}" name="配置表目标金额"/>
    <tableColumn id="7" xr3:uid="{00000000-0010-0000-0000-000007000000}" name="动态目标金额"/>
    <tableColumn id="8" xr3:uid="{00000000-0010-0000-0000-000008000000}" name="当前金额"/>
    <tableColumn id="9" xr3:uid="{00000000-0010-0000-0000-000009000000}" name="配置表当前金额约"/>
    <tableColumn id="10" xr3:uid="{00000000-0010-0000-0000-00000A000000}" name="年度资金缺口"/>
    <tableColumn id="11" xr3:uid="{00000000-0010-0000-0000-00000B000000}" name="年度完成率"/>
    <tableColumn id="12" xr3:uid="{00000000-0010-0000-0000-00000C000000}" name="目标收益下限"/>
    <tableColumn id="13" xr3:uid="{00000000-0010-0000-0000-00000D000000}" name="目标收益上限"/>
    <tableColumn id="14" xr3:uid="{00000000-0010-0000-0000-00000E000000}" name="配置状态"/>
    <tableColumn id="15" xr3:uid="{00000000-0010-0000-0000-00000F000000}" name="进度状态"/>
    <tableColumn id="16" xr3:uid="{00000000-0010-0000-0000-000010000000}" name="执行约束"/>
    <tableColumn id="17" xr3:uid="{00000000-0010-0000-0000-000011000000}" name="来源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llocationMappingTable" displayName="AllocationMappingTable" ref="A1:E13">
  <tableColumns count="5">
    <tableColumn id="1" xr3:uid="{00000000-0010-0000-0100-000001000000}" name="配置键"/>
    <tableColumn id="2" xr3:uid="{00000000-0010-0000-0100-000002000000}" name="代码"/>
    <tableColumn id="3" xr3:uid="{00000000-0010-0000-0100-000003000000}" name="名称"/>
    <tableColumn id="4" xr3:uid="{00000000-0010-0000-0100-000004000000}" name="当前市值"/>
    <tableColumn id="5" xr3:uid="{00000000-0010-0000-0100-000005000000}" name="配置项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llocationRulesTable" displayName="AllocationRulesTable" ref="A1:D8">
  <tableColumns count="4">
    <tableColumn id="1" xr3:uid="{00000000-0010-0000-0200-000001000000}" name="规则模块"/>
    <tableColumn id="2" xr3:uid="{00000000-0010-0000-0200-000002000000}" name="规则"/>
    <tableColumn id="3" xr3:uid="{00000000-0010-0000-0200-000003000000}" name="定义"/>
    <tableColumn id="4" xr3:uid="{00000000-0010-0000-0200-000004000000}" name="执行含义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AllocationSourcesTable" displayName="AllocationSourcesTable" ref="A1:F6">
  <tableColumns count="6">
    <tableColumn id="1" xr3:uid="{00000000-0010-0000-0300-000001000000}" name="数据项"/>
    <tableColumn id="2" xr3:uid="{00000000-0010-0000-0300-000002000000}" name="值/范围"/>
    <tableColumn id="3" xr3:uid="{00000000-0010-0000-0300-000003000000}" name="单位"/>
    <tableColumn id="4" xr3:uid="{00000000-0010-0000-0300-000004000000}" name="截至日期"/>
    <tableColumn id="5" xr3:uid="{00000000-0010-0000-0300-000005000000}" name="来源"/>
    <tableColumn id="6" xr3:uid="{00000000-0010-0000-0300-000006000000}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"/>
  <sheetViews>
    <sheetView showGridLines="0" zoomScale="141" workbookViewId="0">
      <selection activeCell="B17" sqref="B17"/>
    </sheetView>
  </sheetViews>
  <sheetFormatPr baseColWidth="10" defaultColWidth="8.83203125" defaultRowHeight="14"/>
  <cols>
    <col min="1" max="1" width="28" customWidth="1"/>
    <col min="2" max="2" width="18" customWidth="1"/>
    <col min="3" max="3" width="3" customWidth="1"/>
    <col min="4" max="8" width="14" customWidth="1"/>
  </cols>
  <sheetData>
    <row r="1" spans="1:8" ht="30" customHeight="1">
      <c r="A1" s="20" t="s">
        <v>0</v>
      </c>
      <c r="B1" s="20"/>
      <c r="C1" s="20"/>
      <c r="D1" s="20"/>
      <c r="E1" s="20"/>
      <c r="F1" s="20"/>
      <c r="G1" s="20"/>
      <c r="H1" s="20"/>
    </row>
    <row r="3" spans="1:8" ht="16">
      <c r="A3" s="18" t="s">
        <v>1</v>
      </c>
      <c r="B3" s="1" t="s">
        <v>2</v>
      </c>
    </row>
    <row r="4" spans="1:8" ht="22" customHeight="1">
      <c r="A4" s="19" t="s">
        <v>3</v>
      </c>
      <c r="B4" s="3">
        <v>4783000</v>
      </c>
    </row>
    <row r="5" spans="1:8" ht="22" customHeight="1">
      <c r="A5" s="19" t="s">
        <v>4</v>
      </c>
      <c r="B5" s="4">
        <f>SUM(Allocation!D2:D12)</f>
        <v>0.58000000000000007</v>
      </c>
    </row>
    <row r="6" spans="1:8" ht="22" customHeight="1">
      <c r="A6" s="19" t="s">
        <v>5</v>
      </c>
      <c r="B6" s="5">
        <f>SUM(Allocation!G2:G12)</f>
        <v>2774140</v>
      </c>
    </row>
    <row r="7" spans="1:8" ht="22" customHeight="1">
      <c r="A7" s="19" t="s">
        <v>6</v>
      </c>
      <c r="B7" s="5">
        <f>SUM(Allocation!H2:H12)</f>
        <v>667203.79999999993</v>
      </c>
    </row>
    <row r="8" spans="1:8" ht="22" customHeight="1">
      <c r="A8" s="19" t="s">
        <v>7</v>
      </c>
      <c r="B8" s="6">
        <f>B6-B7</f>
        <v>2106936.2000000002</v>
      </c>
    </row>
    <row r="9" spans="1:8" ht="22" customHeight="1">
      <c r="A9" s="19" t="s">
        <v>8</v>
      </c>
      <c r="B9" s="7">
        <f>IF(B6=0,0,B7/B6)</f>
        <v>0.24050833771907687</v>
      </c>
    </row>
    <row r="10" spans="1:8" ht="22" customHeight="1">
      <c r="A10" s="19" t="s">
        <v>9</v>
      </c>
      <c r="B10" s="7">
        <f>MAX(1-B5,0)</f>
        <v>0.41999999999999993</v>
      </c>
    </row>
    <row r="12" spans="1:8">
      <c r="A12" s="21" t="s">
        <v>10</v>
      </c>
      <c r="B12" s="21"/>
      <c r="C12" s="21"/>
      <c r="D12" s="21"/>
      <c r="E12" s="21"/>
      <c r="F12" s="21"/>
      <c r="G12" s="21"/>
      <c r="H12" s="21"/>
    </row>
    <row r="13" spans="1:8">
      <c r="A13" s="21"/>
      <c r="B13" s="21"/>
      <c r="C13" s="21"/>
      <c r="D13" s="21"/>
      <c r="E13" s="21"/>
      <c r="F13" s="21"/>
      <c r="G13" s="21"/>
      <c r="H13" s="21"/>
    </row>
    <row r="14" spans="1:8">
      <c r="A14" s="21"/>
      <c r="B14" s="21"/>
      <c r="C14" s="21"/>
      <c r="D14" s="21"/>
      <c r="E14" s="21"/>
      <c r="F14" s="21"/>
      <c r="G14" s="21"/>
      <c r="H14" s="21"/>
    </row>
    <row r="15" spans="1:8">
      <c r="A15" s="21"/>
      <c r="B15" s="21"/>
      <c r="C15" s="21"/>
      <c r="D15" s="21"/>
      <c r="E15" s="21"/>
      <c r="F15" s="21"/>
      <c r="G15" s="21"/>
      <c r="H15" s="21"/>
    </row>
  </sheetData>
  <mergeCells count="2">
    <mergeCell ref="A1:H1"/>
    <mergeCell ref="A12:H15"/>
  </mergeCells>
  <phoneticPr fontId="7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2"/>
  <sheetViews>
    <sheetView showGridLines="0" tabSelected="1" zoomScale="135" workbookViewId="0"/>
  </sheetViews>
  <sheetFormatPr baseColWidth="10" defaultColWidth="8.83203125" defaultRowHeight="14"/>
  <cols>
    <col min="1" max="1" width="18" customWidth="1"/>
    <col min="2" max="2" width="28" customWidth="1"/>
    <col min="3" max="3" width="18" customWidth="1"/>
    <col min="4" max="4" width="13" customWidth="1"/>
    <col min="5" max="5" width="21.6640625" bestFit="1" customWidth="1"/>
    <col min="6" max="7" width="16" customWidth="1"/>
    <col min="8" max="8" width="14" customWidth="1"/>
    <col min="9" max="10" width="16" customWidth="1"/>
    <col min="11" max="13" width="13" customWidth="1"/>
    <col min="14" max="15" width="18" customWidth="1"/>
    <col min="16" max="16" width="46" customWidth="1"/>
    <col min="17" max="17" width="20" customWidth="1"/>
  </cols>
  <sheetData>
    <row r="1" spans="1:17" ht="16">
      <c r="A1" s="1" t="s">
        <v>11</v>
      </c>
      <c r="B1" s="1" t="s">
        <v>12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  <c r="K1" s="1" t="s">
        <v>8</v>
      </c>
      <c r="L1" s="1" t="s">
        <v>21</v>
      </c>
      <c r="M1" s="1" t="s">
        <v>22</v>
      </c>
      <c r="N1" s="1" t="s">
        <v>23</v>
      </c>
      <c r="O1" s="1" t="s">
        <v>24</v>
      </c>
      <c r="P1" s="1" t="s">
        <v>25</v>
      </c>
      <c r="Q1" s="1" t="s">
        <v>26</v>
      </c>
    </row>
    <row r="2" spans="1:17" ht="15">
      <c r="A2" s="2" t="s">
        <v>27</v>
      </c>
      <c r="B2" s="8" t="s">
        <v>28</v>
      </c>
      <c r="C2" s="8" t="s">
        <v>29</v>
      </c>
      <c r="D2" s="9">
        <v>0.08</v>
      </c>
      <c r="E2" s="8" t="s">
        <v>30</v>
      </c>
      <c r="F2" s="10">
        <v>384000</v>
      </c>
      <c r="G2" s="11">
        <f>Summary!$B$4*D2</f>
        <v>382640</v>
      </c>
      <c r="H2" s="11">
        <f>SUMIF(Mapping!$A$2:$A$30,A2,Mapping!$D$2:$D$30)</f>
        <v>60640</v>
      </c>
      <c r="I2" s="12">
        <v>60800</v>
      </c>
      <c r="J2" s="13">
        <f t="shared" ref="J2:J12" si="0">G2-H2</f>
        <v>322000</v>
      </c>
      <c r="K2" s="14">
        <f t="shared" ref="K2:K12" si="1">IF(G2=0,0,H2/G2)</f>
        <v>0.15847794271377796</v>
      </c>
      <c r="L2" s="14">
        <v>0.2</v>
      </c>
      <c r="M2" s="14">
        <v>0.3</v>
      </c>
      <c r="N2" s="15" t="s">
        <v>31</v>
      </c>
      <c r="O2" s="15" t="str">
        <f t="shared" ref="O2:O12" si="2">IF(E2="待选","待选择合格标的",IF(J2&lt;=0,"达到或超过年度目标",IF(K2&gt;=80%,"接近年度目标","配置中")))</f>
        <v>配置中</v>
      </c>
      <c r="P2" s="16" t="s">
        <v>32</v>
      </c>
      <c r="Q2" s="16" t="s">
        <v>33</v>
      </c>
    </row>
    <row r="3" spans="1:17" ht="15">
      <c r="A3" s="2" t="s">
        <v>34</v>
      </c>
      <c r="B3" s="8" t="s">
        <v>35</v>
      </c>
      <c r="C3" s="8" t="s">
        <v>36</v>
      </c>
      <c r="D3" s="9">
        <v>0.08</v>
      </c>
      <c r="E3" s="8" t="s">
        <v>37</v>
      </c>
      <c r="F3" s="10">
        <v>384000</v>
      </c>
      <c r="G3" s="11">
        <f>Summary!$B$4*D3</f>
        <v>382640</v>
      </c>
      <c r="H3" s="11">
        <f>SUMIF(Mapping!$A$2:$A$30,A3,Mapping!$D$2:$D$30)</f>
        <v>139459.20000000001</v>
      </c>
      <c r="I3" s="12">
        <v>139700</v>
      </c>
      <c r="J3" s="13">
        <f t="shared" si="0"/>
        <v>243180.79999999999</v>
      </c>
      <c r="K3" s="14">
        <f t="shared" si="1"/>
        <v>0.36446581643320097</v>
      </c>
      <c r="L3" s="14">
        <v>0.18</v>
      </c>
      <c r="M3" s="14">
        <v>0.25</v>
      </c>
      <c r="N3" s="15" t="s">
        <v>31</v>
      </c>
      <c r="O3" s="15" t="str">
        <f t="shared" si="2"/>
        <v>配置中</v>
      </c>
      <c r="P3" s="16" t="s">
        <v>38</v>
      </c>
      <c r="Q3" s="16" t="s">
        <v>33</v>
      </c>
    </row>
    <row r="4" spans="1:17" ht="15">
      <c r="A4" s="2" t="s">
        <v>39</v>
      </c>
      <c r="B4" s="8" t="s">
        <v>40</v>
      </c>
      <c r="C4" s="8" t="s">
        <v>36</v>
      </c>
      <c r="D4" s="9">
        <v>0.06</v>
      </c>
      <c r="E4" s="8" t="s">
        <v>41</v>
      </c>
      <c r="F4" s="10">
        <v>288000</v>
      </c>
      <c r="G4" s="11">
        <f>Summary!$B$4*D4</f>
        <v>286980</v>
      </c>
      <c r="H4" s="11">
        <f>SUMIF(Mapping!$A$2:$A$30,A4,Mapping!$D$2:$D$30)</f>
        <v>21675</v>
      </c>
      <c r="I4" s="12">
        <v>21900</v>
      </c>
      <c r="J4" s="13">
        <f t="shared" si="0"/>
        <v>265305</v>
      </c>
      <c r="K4" s="14">
        <f t="shared" si="1"/>
        <v>7.5527911352707505E-2</v>
      </c>
      <c r="L4" s="14">
        <v>0.2</v>
      </c>
      <c r="M4" s="14">
        <v>0.3</v>
      </c>
      <c r="N4" s="15" t="s">
        <v>31</v>
      </c>
      <c r="O4" s="15" t="str">
        <f t="shared" si="2"/>
        <v>配置中</v>
      </c>
      <c r="P4" s="16" t="s">
        <v>32</v>
      </c>
      <c r="Q4" s="16" t="s">
        <v>33</v>
      </c>
    </row>
    <row r="5" spans="1:17" ht="15">
      <c r="A5" s="2" t="s">
        <v>42</v>
      </c>
      <c r="B5" s="8" t="s">
        <v>43</v>
      </c>
      <c r="C5" s="8" t="s">
        <v>44</v>
      </c>
      <c r="D5" s="9">
        <v>0.02</v>
      </c>
      <c r="E5" s="8" t="s">
        <v>45</v>
      </c>
      <c r="F5" s="10">
        <v>96000</v>
      </c>
      <c r="G5" s="11">
        <f>Summary!$B$4*D5</f>
        <v>95660</v>
      </c>
      <c r="H5" s="11">
        <f>SUMIF(Mapping!$A$2:$A$30,A5,Mapping!$D$2:$D$30)</f>
        <v>0</v>
      </c>
      <c r="I5" s="12">
        <v>0</v>
      </c>
      <c r="J5" s="13">
        <f t="shared" si="0"/>
        <v>95660</v>
      </c>
      <c r="K5" s="14">
        <f t="shared" si="1"/>
        <v>0</v>
      </c>
      <c r="L5" s="14">
        <v>0.15</v>
      </c>
      <c r="M5" s="14">
        <v>0.25</v>
      </c>
      <c r="N5" s="15" t="s">
        <v>46</v>
      </c>
      <c r="O5" s="15" t="str">
        <f t="shared" si="2"/>
        <v>配置中</v>
      </c>
      <c r="P5" s="16" t="s">
        <v>47</v>
      </c>
      <c r="Q5" s="16" t="s">
        <v>33</v>
      </c>
    </row>
    <row r="6" spans="1:17" ht="15">
      <c r="A6" s="2" t="s">
        <v>48</v>
      </c>
      <c r="B6" s="8" t="s">
        <v>49</v>
      </c>
      <c r="C6" s="8" t="s">
        <v>50</v>
      </c>
      <c r="D6" s="9">
        <v>0.03</v>
      </c>
      <c r="E6" s="8" t="s">
        <v>51</v>
      </c>
      <c r="F6" s="10">
        <v>144000</v>
      </c>
      <c r="G6" s="11">
        <f>Summary!$B$4*D6</f>
        <v>143490</v>
      </c>
      <c r="H6" s="11">
        <f>SUMIF(Mapping!$A$2:$A$30,A6,Mapping!$D$2:$D$30)</f>
        <v>191942.39999999999</v>
      </c>
      <c r="I6" s="12">
        <v>191200</v>
      </c>
      <c r="J6" s="13">
        <f t="shared" si="0"/>
        <v>-48452.399999999994</v>
      </c>
      <c r="K6" s="14">
        <f t="shared" si="1"/>
        <v>1.3376709178339954</v>
      </c>
      <c r="L6" s="14">
        <v>0.08</v>
      </c>
      <c r="M6" s="14">
        <v>0.15</v>
      </c>
      <c r="N6" s="15" t="s">
        <v>31</v>
      </c>
      <c r="O6" s="15" t="str">
        <f t="shared" si="2"/>
        <v>达到或超过年度目标</v>
      </c>
      <c r="P6" s="16" t="s">
        <v>52</v>
      </c>
      <c r="Q6" s="16" t="s">
        <v>33</v>
      </c>
    </row>
    <row r="7" spans="1:17" ht="15">
      <c r="A7" s="2" t="s">
        <v>53</v>
      </c>
      <c r="B7" s="8" t="s">
        <v>54</v>
      </c>
      <c r="C7" s="8" t="s">
        <v>55</v>
      </c>
      <c r="D7" s="9">
        <v>0.03</v>
      </c>
      <c r="E7" s="8" t="s">
        <v>56</v>
      </c>
      <c r="F7" s="10">
        <v>144000</v>
      </c>
      <c r="G7" s="11">
        <f>Summary!$B$4*D7</f>
        <v>143490</v>
      </c>
      <c r="H7" s="11">
        <f>SUMIF(Mapping!$A$2:$A$30,A7,Mapping!$D$2:$D$30)</f>
        <v>63344</v>
      </c>
      <c r="I7" s="12">
        <v>63500</v>
      </c>
      <c r="J7" s="13">
        <f t="shared" si="0"/>
        <v>80146</v>
      </c>
      <c r="K7" s="14">
        <f t="shared" si="1"/>
        <v>0.44145236601853788</v>
      </c>
      <c r="L7" s="14">
        <v>0.08</v>
      </c>
      <c r="M7" s="14">
        <v>0.15</v>
      </c>
      <c r="N7" s="15" t="s">
        <v>31</v>
      </c>
      <c r="O7" s="15" t="str">
        <f t="shared" si="2"/>
        <v>配置中</v>
      </c>
      <c r="P7" s="16" t="s">
        <v>57</v>
      </c>
      <c r="Q7" s="16" t="s">
        <v>33</v>
      </c>
    </row>
    <row r="8" spans="1:17" ht="15">
      <c r="A8" s="2" t="s">
        <v>58</v>
      </c>
      <c r="B8" s="8" t="s">
        <v>59</v>
      </c>
      <c r="C8" s="8" t="s">
        <v>60</v>
      </c>
      <c r="D8" s="9">
        <v>0.08</v>
      </c>
      <c r="E8" s="8" t="s">
        <v>61</v>
      </c>
      <c r="F8" s="10">
        <v>384000</v>
      </c>
      <c r="G8" s="11">
        <f>Summary!$B$4*D8</f>
        <v>382640</v>
      </c>
      <c r="H8" s="11">
        <f>SUMIF(Mapping!$A$2:$A$30,A8,Mapping!$D$2:$D$30)</f>
        <v>109274.2</v>
      </c>
      <c r="I8" s="12">
        <v>109300</v>
      </c>
      <c r="J8" s="13">
        <f t="shared" si="0"/>
        <v>273365.8</v>
      </c>
      <c r="K8" s="14">
        <f t="shared" si="1"/>
        <v>0.28557965711896299</v>
      </c>
      <c r="L8" s="14">
        <v>0.06</v>
      </c>
      <c r="M8" s="14">
        <v>0.1</v>
      </c>
      <c r="N8" s="15" t="s">
        <v>31</v>
      </c>
      <c r="O8" s="15" t="str">
        <f t="shared" si="2"/>
        <v>配置中</v>
      </c>
      <c r="P8" s="16" t="s">
        <v>62</v>
      </c>
      <c r="Q8" s="16" t="s">
        <v>33</v>
      </c>
    </row>
    <row r="9" spans="1:17" ht="15">
      <c r="A9" s="2" t="s">
        <v>63</v>
      </c>
      <c r="B9" s="8" t="s">
        <v>64</v>
      </c>
      <c r="C9" s="8" t="s">
        <v>60</v>
      </c>
      <c r="D9" s="9">
        <v>0.05</v>
      </c>
      <c r="E9" s="8" t="s">
        <v>65</v>
      </c>
      <c r="F9" s="10">
        <v>240000</v>
      </c>
      <c r="G9" s="11">
        <f>Summary!$B$4*D9</f>
        <v>239150</v>
      </c>
      <c r="H9" s="11">
        <f>SUMIF(Mapping!$A$2:$A$30,A9,Mapping!$D$2:$D$30)</f>
        <v>42370</v>
      </c>
      <c r="I9" s="12">
        <v>42400</v>
      </c>
      <c r="J9" s="13">
        <f t="shared" si="0"/>
        <v>196780</v>
      </c>
      <c r="K9" s="14">
        <f t="shared" si="1"/>
        <v>0.17716914070666945</v>
      </c>
      <c r="L9" s="14">
        <v>0.05</v>
      </c>
      <c r="M9" s="14">
        <v>0.08</v>
      </c>
      <c r="N9" s="15" t="s">
        <v>31</v>
      </c>
      <c r="O9" s="15" t="str">
        <f t="shared" si="2"/>
        <v>配置中</v>
      </c>
      <c r="P9" s="16" t="s">
        <v>66</v>
      </c>
      <c r="Q9" s="16" t="s">
        <v>33</v>
      </c>
    </row>
    <row r="10" spans="1:17" ht="15">
      <c r="A10" s="2" t="s">
        <v>67</v>
      </c>
      <c r="B10" s="8" t="s">
        <v>68</v>
      </c>
      <c r="C10" s="8" t="s">
        <v>69</v>
      </c>
      <c r="D10" s="9">
        <v>0.1</v>
      </c>
      <c r="E10" s="8" t="s">
        <v>70</v>
      </c>
      <c r="F10" s="10">
        <v>480000</v>
      </c>
      <c r="G10" s="11">
        <f>Summary!$B$4*D10</f>
        <v>478300</v>
      </c>
      <c r="H10" s="11">
        <f>SUMIF(Mapping!$A$2:$A$30,A10,Mapping!$D$2:$D$30)</f>
        <v>38499</v>
      </c>
      <c r="I10" s="12">
        <v>38400</v>
      </c>
      <c r="J10" s="13">
        <f t="shared" si="0"/>
        <v>439801</v>
      </c>
      <c r="K10" s="14">
        <f t="shared" si="1"/>
        <v>8.0491323437173329E-2</v>
      </c>
      <c r="L10" s="14">
        <v>0.06</v>
      </c>
      <c r="M10" s="14">
        <v>0.1</v>
      </c>
      <c r="N10" s="15" t="s">
        <v>31</v>
      </c>
      <c r="O10" s="15" t="str">
        <f t="shared" si="2"/>
        <v>配置中</v>
      </c>
      <c r="P10" s="16" t="s">
        <v>71</v>
      </c>
      <c r="Q10" s="16" t="s">
        <v>33</v>
      </c>
    </row>
    <row r="11" spans="1:17" ht="15">
      <c r="A11" s="2" t="s">
        <v>72</v>
      </c>
      <c r="B11" s="8" t="s">
        <v>73</v>
      </c>
      <c r="C11" s="8" t="s">
        <v>74</v>
      </c>
      <c r="D11" s="9">
        <v>0.03</v>
      </c>
      <c r="E11" s="8" t="s">
        <v>75</v>
      </c>
      <c r="F11" s="10">
        <v>144000</v>
      </c>
      <c r="G11" s="11">
        <f>Summary!$B$4*D11</f>
        <v>143490</v>
      </c>
      <c r="H11" s="11">
        <f>SUMIF(Mapping!$A$2:$A$30,A11,Mapping!$D$2:$D$30)</f>
        <v>0</v>
      </c>
      <c r="I11" s="12">
        <v>0</v>
      </c>
      <c r="J11" s="13">
        <f t="shared" si="0"/>
        <v>143490</v>
      </c>
      <c r="K11" s="14">
        <f t="shared" si="1"/>
        <v>0</v>
      </c>
      <c r="L11" s="14">
        <v>0.15</v>
      </c>
      <c r="M11" s="14">
        <v>0.3</v>
      </c>
      <c r="N11" s="15" t="s">
        <v>46</v>
      </c>
      <c r="O11" s="15" t="str">
        <f t="shared" si="2"/>
        <v>待选择合格标的</v>
      </c>
      <c r="P11" s="16" t="s">
        <v>76</v>
      </c>
      <c r="Q11" s="16" t="s">
        <v>33</v>
      </c>
    </row>
    <row r="12" spans="1:17" ht="15">
      <c r="A12" s="2" t="s">
        <v>77</v>
      </c>
      <c r="B12" s="8" t="s">
        <v>78</v>
      </c>
      <c r="C12" s="8" t="s">
        <v>79</v>
      </c>
      <c r="D12" s="9">
        <v>0.02</v>
      </c>
      <c r="E12" s="8" t="s">
        <v>75</v>
      </c>
      <c r="F12" s="10">
        <v>96000</v>
      </c>
      <c r="G12" s="11">
        <f>Summary!$B$4*D12</f>
        <v>95660</v>
      </c>
      <c r="H12" s="11">
        <f>SUMIF(Mapping!$A$2:$A$30,A12,Mapping!$D$2:$D$30)</f>
        <v>0</v>
      </c>
      <c r="I12" s="12">
        <v>0</v>
      </c>
      <c r="J12" s="13">
        <f t="shared" si="0"/>
        <v>95660</v>
      </c>
      <c r="K12" s="14">
        <f t="shared" si="1"/>
        <v>0</v>
      </c>
      <c r="L12" s="14">
        <v>0.25</v>
      </c>
      <c r="M12" s="14">
        <v>0.35</v>
      </c>
      <c r="N12" s="15" t="s">
        <v>46</v>
      </c>
      <c r="O12" s="15" t="str">
        <f t="shared" si="2"/>
        <v>待选择合格标的</v>
      </c>
      <c r="P12" s="16" t="s">
        <v>80</v>
      </c>
      <c r="Q12" s="16" t="s">
        <v>33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3"/>
  <sheetViews>
    <sheetView showGridLines="0" workbookViewId="0"/>
  </sheetViews>
  <sheetFormatPr baseColWidth="10" defaultColWidth="8.83203125" defaultRowHeight="14"/>
  <cols>
    <col min="1" max="1" width="20" customWidth="1"/>
    <col min="2" max="2" width="12" customWidth="1"/>
    <col min="3" max="3" width="22" customWidth="1"/>
    <col min="4" max="4" width="16" customWidth="1"/>
    <col min="5" max="5" width="30" customWidth="1"/>
  </cols>
  <sheetData>
    <row r="1" spans="1:5" ht="16">
      <c r="A1" s="1" t="s">
        <v>11</v>
      </c>
      <c r="B1" s="1" t="s">
        <v>81</v>
      </c>
      <c r="C1" s="1" t="s">
        <v>82</v>
      </c>
      <c r="D1" s="1" t="s">
        <v>83</v>
      </c>
      <c r="E1" s="1" t="s">
        <v>12</v>
      </c>
    </row>
    <row r="2" spans="1:5">
      <c r="A2" s="2" t="s">
        <v>27</v>
      </c>
      <c r="B2" s="2" t="s">
        <v>30</v>
      </c>
      <c r="C2" s="2" t="s">
        <v>84</v>
      </c>
      <c r="D2" s="3">
        <v>60640</v>
      </c>
      <c r="E2" s="2" t="s">
        <v>28</v>
      </c>
    </row>
    <row r="3" spans="1:5">
      <c r="A3" s="2" t="s">
        <v>34</v>
      </c>
      <c r="B3" s="2" t="s">
        <v>37</v>
      </c>
      <c r="C3" s="2" t="s">
        <v>85</v>
      </c>
      <c r="D3" s="3">
        <v>139459.20000000001</v>
      </c>
      <c r="E3" s="2" t="s">
        <v>35</v>
      </c>
    </row>
    <row r="4" spans="1:5">
      <c r="A4" s="2" t="s">
        <v>39</v>
      </c>
      <c r="B4" s="2" t="s">
        <v>41</v>
      </c>
      <c r="C4" s="2" t="s">
        <v>86</v>
      </c>
      <c r="D4" s="3">
        <v>21675</v>
      </c>
      <c r="E4" s="2" t="s">
        <v>40</v>
      </c>
    </row>
    <row r="5" spans="1:5">
      <c r="A5" s="2" t="s">
        <v>42</v>
      </c>
      <c r="B5" s="2" t="s">
        <v>45</v>
      </c>
      <c r="C5" s="2" t="s">
        <v>87</v>
      </c>
      <c r="D5" s="3">
        <v>0</v>
      </c>
      <c r="E5" s="2" t="s">
        <v>43</v>
      </c>
    </row>
    <row r="6" spans="1:5">
      <c r="A6" s="2" t="s">
        <v>48</v>
      </c>
      <c r="B6" s="2" t="s">
        <v>88</v>
      </c>
      <c r="C6" s="2" t="s">
        <v>89</v>
      </c>
      <c r="D6" s="3">
        <v>97504</v>
      </c>
      <c r="E6" s="2" t="s">
        <v>49</v>
      </c>
    </row>
    <row r="7" spans="1:5">
      <c r="A7" s="2" t="s">
        <v>48</v>
      </c>
      <c r="B7" s="2" t="s">
        <v>90</v>
      </c>
      <c r="C7" s="2" t="s">
        <v>91</v>
      </c>
      <c r="D7" s="3">
        <v>47600</v>
      </c>
      <c r="E7" s="2" t="s">
        <v>49</v>
      </c>
    </row>
    <row r="8" spans="1:5">
      <c r="A8" s="2" t="s">
        <v>48</v>
      </c>
      <c r="B8" s="2" t="s">
        <v>92</v>
      </c>
      <c r="C8" s="2" t="s">
        <v>93</v>
      </c>
      <c r="D8" s="3">
        <v>46838.400000000001</v>
      </c>
      <c r="E8" s="2" t="s">
        <v>49</v>
      </c>
    </row>
    <row r="9" spans="1:5">
      <c r="A9" s="2" t="s">
        <v>53</v>
      </c>
      <c r="B9" s="2" t="s">
        <v>56</v>
      </c>
      <c r="C9" s="2" t="s">
        <v>54</v>
      </c>
      <c r="D9" s="3">
        <v>63344</v>
      </c>
      <c r="E9" s="2" t="s">
        <v>54</v>
      </c>
    </row>
    <row r="10" spans="1:5">
      <c r="A10" s="2" t="s">
        <v>58</v>
      </c>
      <c r="B10" s="2" t="s">
        <v>94</v>
      </c>
      <c r="C10" s="2" t="s">
        <v>59</v>
      </c>
      <c r="D10" s="3">
        <v>73294.2</v>
      </c>
      <c r="E10" s="2" t="s">
        <v>59</v>
      </c>
    </row>
    <row r="11" spans="1:5">
      <c r="A11" s="2" t="s">
        <v>58</v>
      </c>
      <c r="B11" s="2" t="s">
        <v>95</v>
      </c>
      <c r="C11" s="2" t="s">
        <v>96</v>
      </c>
      <c r="D11" s="3">
        <v>35980</v>
      </c>
      <c r="E11" s="2" t="s">
        <v>59</v>
      </c>
    </row>
    <row r="12" spans="1:5">
      <c r="A12" s="2" t="s">
        <v>63</v>
      </c>
      <c r="B12" s="2" t="s">
        <v>65</v>
      </c>
      <c r="C12" s="2" t="s">
        <v>64</v>
      </c>
      <c r="D12" s="3">
        <v>42370</v>
      </c>
      <c r="E12" s="2" t="s">
        <v>64</v>
      </c>
    </row>
    <row r="13" spans="1:5">
      <c r="A13" s="2" t="s">
        <v>67</v>
      </c>
      <c r="B13" s="2" t="s">
        <v>70</v>
      </c>
      <c r="C13" s="2" t="s">
        <v>68</v>
      </c>
      <c r="D13" s="3">
        <v>38499</v>
      </c>
      <c r="E13" s="2" t="s">
        <v>68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8"/>
  <sheetViews>
    <sheetView showGridLines="0" workbookViewId="0"/>
  </sheetViews>
  <sheetFormatPr baseColWidth="10" defaultColWidth="8.83203125" defaultRowHeight="14"/>
  <cols>
    <col min="1" max="1" width="18" customWidth="1"/>
    <col min="2" max="2" width="20" customWidth="1"/>
    <col min="3" max="3" width="36" customWidth="1"/>
    <col min="4" max="4" width="44" customWidth="1"/>
  </cols>
  <sheetData>
    <row r="1" spans="1:4" ht="16">
      <c r="A1" s="1" t="s">
        <v>97</v>
      </c>
      <c r="B1" s="1" t="s">
        <v>98</v>
      </c>
      <c r="C1" s="1" t="s">
        <v>99</v>
      </c>
      <c r="D1" s="1" t="s">
        <v>100</v>
      </c>
    </row>
    <row r="2" spans="1:4" ht="15">
      <c r="A2" s="16" t="s">
        <v>101</v>
      </c>
      <c r="B2" s="16" t="s">
        <v>102</v>
      </c>
      <c r="C2" s="16" t="s">
        <v>103</v>
      </c>
      <c r="D2" s="16" t="s">
        <v>104</v>
      </c>
    </row>
    <row r="3" spans="1:4" ht="15">
      <c r="A3" s="16" t="s">
        <v>101</v>
      </c>
      <c r="B3" s="16" t="s">
        <v>105</v>
      </c>
      <c r="C3" s="16" t="s">
        <v>106</v>
      </c>
      <c r="D3" s="16" t="s">
        <v>107</v>
      </c>
    </row>
    <row r="4" spans="1:4" ht="15">
      <c r="A4" s="16" t="s">
        <v>108</v>
      </c>
      <c r="B4" s="16" t="s">
        <v>109</v>
      </c>
      <c r="C4" s="16" t="s">
        <v>110</v>
      </c>
      <c r="D4" s="16" t="s">
        <v>111</v>
      </c>
    </row>
    <row r="5" spans="1:4" ht="15">
      <c r="A5" s="16" t="s">
        <v>112</v>
      </c>
      <c r="B5" s="16" t="s">
        <v>113</v>
      </c>
      <c r="C5" s="16" t="s">
        <v>114</v>
      </c>
      <c r="D5" s="16" t="s">
        <v>115</v>
      </c>
    </row>
    <row r="6" spans="1:4" ht="15">
      <c r="A6" s="16" t="s">
        <v>116</v>
      </c>
      <c r="B6" s="16" t="s">
        <v>117</v>
      </c>
      <c r="C6" s="16" t="s">
        <v>118</v>
      </c>
      <c r="D6" s="16" t="s">
        <v>119</v>
      </c>
    </row>
    <row r="7" spans="1:4" ht="15">
      <c r="A7" s="16" t="s">
        <v>120</v>
      </c>
      <c r="B7" s="16" t="s">
        <v>121</v>
      </c>
      <c r="C7" s="16" t="s">
        <v>122</v>
      </c>
      <c r="D7" s="16" t="s">
        <v>123</v>
      </c>
    </row>
    <row r="8" spans="1:4" ht="15">
      <c r="A8" s="16" t="s">
        <v>124</v>
      </c>
      <c r="B8" s="16" t="s">
        <v>125</v>
      </c>
      <c r="C8" s="16" t="s">
        <v>126</v>
      </c>
      <c r="D8" s="16" t="s">
        <v>127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2"/>
  <sheetViews>
    <sheetView showGridLines="0" workbookViewId="0"/>
  </sheetViews>
  <sheetFormatPr baseColWidth="10" defaultColWidth="8.83203125" defaultRowHeight="14"/>
  <cols>
    <col min="1" max="1" width="24" customWidth="1"/>
    <col min="2" max="2" width="18" customWidth="1"/>
    <col min="3" max="3" width="12" customWidth="1"/>
    <col min="4" max="4" width="16" customWidth="1"/>
    <col min="5" max="5" width="28" customWidth="1"/>
    <col min="6" max="6" width="48" customWidth="1"/>
    <col min="8" max="8" width="30" customWidth="1"/>
    <col min="9" max="10" width="16" customWidth="1"/>
  </cols>
  <sheetData>
    <row r="1" spans="1:10" ht="16">
      <c r="A1" s="1" t="s">
        <v>128</v>
      </c>
      <c r="B1" s="1" t="s">
        <v>129</v>
      </c>
      <c r="C1" s="1" t="s">
        <v>130</v>
      </c>
      <c r="D1" s="1" t="s">
        <v>131</v>
      </c>
      <c r="E1" s="1" t="s">
        <v>26</v>
      </c>
      <c r="F1" s="1" t="s">
        <v>132</v>
      </c>
      <c r="H1" s="1" t="s">
        <v>12</v>
      </c>
      <c r="I1" s="1" t="s">
        <v>18</v>
      </c>
      <c r="J1" s="1" t="s">
        <v>133</v>
      </c>
    </row>
    <row r="2" spans="1:10" ht="15">
      <c r="A2" s="16" t="s">
        <v>134</v>
      </c>
      <c r="B2" s="16">
        <v>4783000</v>
      </c>
      <c r="C2" s="16" t="s">
        <v>135</v>
      </c>
      <c r="D2" s="16" t="s">
        <v>136</v>
      </c>
      <c r="E2" s="16" t="s">
        <v>137</v>
      </c>
      <c r="F2" s="16" t="s">
        <v>138</v>
      </c>
      <c r="H2" t="s">
        <v>28</v>
      </c>
      <c r="I2" s="17">
        <f>Allocation!H2</f>
        <v>60640</v>
      </c>
      <c r="J2" s="17">
        <f>Allocation!G2</f>
        <v>382640</v>
      </c>
    </row>
    <row r="3" spans="1:10" ht="15">
      <c r="A3" s="16" t="s">
        <v>139</v>
      </c>
      <c r="B3" s="16">
        <v>779034.22</v>
      </c>
      <c r="C3" s="16" t="s">
        <v>135</v>
      </c>
      <c r="D3" s="16" t="s">
        <v>136</v>
      </c>
      <c r="E3" s="16" t="s">
        <v>137</v>
      </c>
      <c r="F3" s="16" t="s">
        <v>140</v>
      </c>
      <c r="H3" t="s">
        <v>35</v>
      </c>
      <c r="I3" s="17">
        <f>Allocation!H3</f>
        <v>139459.20000000001</v>
      </c>
      <c r="J3" s="17">
        <f>Allocation!G3</f>
        <v>382640</v>
      </c>
    </row>
    <row r="4" spans="1:10" ht="15">
      <c r="A4" s="16" t="s">
        <v>141</v>
      </c>
      <c r="B4" s="16" t="s">
        <v>142</v>
      </c>
      <c r="C4" s="16" t="s">
        <v>143</v>
      </c>
      <c r="D4" s="16" t="s">
        <v>144</v>
      </c>
      <c r="E4" s="16" t="s">
        <v>33</v>
      </c>
      <c r="F4" s="16" t="s">
        <v>145</v>
      </c>
      <c r="H4" t="s">
        <v>40</v>
      </c>
      <c r="I4" s="17">
        <f>Allocation!H4</f>
        <v>21675</v>
      </c>
      <c r="J4" s="17">
        <f>Allocation!G4</f>
        <v>286980</v>
      </c>
    </row>
    <row r="5" spans="1:10" ht="15">
      <c r="A5" s="16" t="s">
        <v>146</v>
      </c>
      <c r="B5" s="16" t="s">
        <v>147</v>
      </c>
      <c r="C5" s="16" t="s">
        <v>143</v>
      </c>
      <c r="D5" s="16" t="s">
        <v>144</v>
      </c>
      <c r="E5" s="16" t="s">
        <v>33</v>
      </c>
      <c r="F5" s="16" t="s">
        <v>148</v>
      </c>
      <c r="H5" t="s">
        <v>43</v>
      </c>
      <c r="I5" s="17">
        <f>Allocation!H5</f>
        <v>0</v>
      </c>
      <c r="J5" s="17">
        <f>Allocation!G5</f>
        <v>95660</v>
      </c>
    </row>
    <row r="6" spans="1:10" ht="15">
      <c r="A6" s="16" t="s">
        <v>149</v>
      </c>
      <c r="B6" s="16" t="s">
        <v>150</v>
      </c>
      <c r="C6" s="16" t="s">
        <v>151</v>
      </c>
      <c r="D6" s="16" t="s">
        <v>152</v>
      </c>
      <c r="E6" s="16" t="s">
        <v>153</v>
      </c>
      <c r="F6" s="16" t="s">
        <v>154</v>
      </c>
      <c r="H6" t="s">
        <v>49</v>
      </c>
      <c r="I6" s="17">
        <f>Allocation!H6</f>
        <v>191942.39999999999</v>
      </c>
      <c r="J6" s="17">
        <f>Allocation!G6</f>
        <v>143490</v>
      </c>
    </row>
    <row r="7" spans="1:10">
      <c r="H7" t="s">
        <v>54</v>
      </c>
      <c r="I7" s="17">
        <f>Allocation!H7</f>
        <v>63344</v>
      </c>
      <c r="J7" s="17">
        <f>Allocation!G7</f>
        <v>143490</v>
      </c>
    </row>
    <row r="8" spans="1:10">
      <c r="H8" t="s">
        <v>59</v>
      </c>
      <c r="I8" s="17">
        <f>Allocation!H8</f>
        <v>109274.2</v>
      </c>
      <c r="J8" s="17">
        <f>Allocation!G8</f>
        <v>382640</v>
      </c>
    </row>
    <row r="9" spans="1:10">
      <c r="H9" t="s">
        <v>64</v>
      </c>
      <c r="I9" s="17">
        <f>Allocation!H9</f>
        <v>42370</v>
      </c>
      <c r="J9" s="17">
        <f>Allocation!G9</f>
        <v>239150</v>
      </c>
    </row>
    <row r="10" spans="1:10">
      <c r="H10" t="s">
        <v>68</v>
      </c>
      <c r="I10" s="17">
        <f>Allocation!H10</f>
        <v>38499</v>
      </c>
      <c r="J10" s="17">
        <f>Allocation!G10</f>
        <v>478300</v>
      </c>
    </row>
    <row r="11" spans="1:10">
      <c r="H11" t="s">
        <v>73</v>
      </c>
      <c r="I11" s="17">
        <f>Allocation!H11</f>
        <v>0</v>
      </c>
      <c r="J11" s="17">
        <f>Allocation!G11</f>
        <v>143490</v>
      </c>
    </row>
    <row r="12" spans="1:10">
      <c r="H12" t="s">
        <v>78</v>
      </c>
      <c r="I12" s="17">
        <f>Allocation!H12</f>
        <v>0</v>
      </c>
      <c r="J12" s="17">
        <f>Allocation!G12</f>
        <v>95660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Summary</vt:lpstr>
      <vt:lpstr>Allocation</vt:lpstr>
      <vt:lpstr>Mapping</vt:lpstr>
      <vt:lpstr>Rules</vt:lpstr>
      <vt:lpstr>Sources_Audit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Sean Yao</cp:lastModifiedBy>
  <dcterms:modified xsi:type="dcterms:W3CDTF">2026-06-20T12:17:30Z</dcterms:modified>
</cp:coreProperties>
</file>