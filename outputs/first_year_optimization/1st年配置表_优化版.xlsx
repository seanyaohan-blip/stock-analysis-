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425e2b15cc40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7c2921532b94651"/>
    <x:sheet xmlns:r="http://schemas.openxmlformats.org/officeDocument/2006/relationships" name="Allocation" sheetId="2" r:id="R6eb19a34cd1d4611"/>
    <x:sheet xmlns:r="http://schemas.openxmlformats.org/officeDocument/2006/relationships" name="Mapping" sheetId="3" r:id="R0d35011d8b544ca8"/>
    <x:sheet xmlns:r="http://schemas.openxmlformats.org/officeDocument/2006/relationships" name="Rules" sheetId="4" r:id="R0b3007af394044e4"/>
    <x:sheet xmlns:r="http://schemas.openxmlformats.org/officeDocument/2006/relationships" name="Sources_Audit" sheetId="5" r:id="Re8171415b0714d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;[Red](#,##0);-"/>
    <x:numFmt numFmtId="201" formatCode="0.0%"/>
    <x:numFmt numFmtId="202" formatCode="#,##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008000"/>
      <x:name val="Carlito"/>
    </x:font>
    <x:font>
      <x:sz val="11"/>
      <x:color rgb="FF00000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2F4F7"/>
      </x:patternFill>
    </x:fill>
  </x:fills>
  <x:borders count="1">
    <x:border/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200" fontId="3" fillId="0" borderId="0" xfId="0" applyNumberFormat="1" applyFont="1" applyFill="1" applyBorder="1"/>
    <x:xf numFmtId="201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201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201" fontId="3" fillId="0" borderId="0" xfId="0" applyNumberFormat="1" applyFont="1" applyFill="1" applyBorder="1" applyAlignment="1">
      <x:alignment wrapText="1"/>
    </x:xf>
    <x:xf numFmtId="200" fontId="3" fillId="0" borderId="0" xfId="0" applyNumberFormat="1" applyFont="1" applyFill="1" applyBorder="1" applyAlignment="1">
      <x:alignment wrapText="1"/>
    </x:xf>
    <x:xf numFmtId="200" fontId="4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5" fillId="0" borderId="0" xfId="0" applyNumberFormat="1" applyFont="1" applyFill="1" applyBorder="1" applyAlignment="1">
      <x:alignment wrapText="1"/>
    </x:xf>
    <x:xf numFmtId="201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22f9bb8cbf4dc7" /><Relationship Type="http://schemas.openxmlformats.org/officeDocument/2006/relationships/theme" Target="/xl/theme/theme1.xml" Id="Reb1bc87d82134ff3" /><Relationship Type="http://schemas.openxmlformats.org/officeDocument/2006/relationships/sharedStrings" Target="/xl/sharedStrings.xml" Id="Rdf440aa1e5e14fa0" /><Relationship Type="http://schemas.openxmlformats.org/officeDocument/2006/relationships/worksheet" Target="/xl/worksheets/sheet1.xml" Id="Ra7c2921532b94651" /><Relationship Type="http://schemas.openxmlformats.org/officeDocument/2006/relationships/worksheet" Target="/xl/worksheets/sheet2.xml" Id="R6eb19a34cd1d4611" /><Relationship Type="http://schemas.openxmlformats.org/officeDocument/2006/relationships/worksheet" Target="/xl/worksheets/sheet3.xml" Id="R0d35011d8b544ca8" /><Relationship Type="http://schemas.openxmlformats.org/officeDocument/2006/relationships/worksheet" Target="/xl/worksheets/sheet4.xml" Id="R0b3007af394044e4" /><Relationship Type="http://schemas.openxmlformats.org/officeDocument/2006/relationships/worksheet" Target="/xl/worksheets/sheet5.xml" Id="Re8171415b0714d8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9d79fe4a27f495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第一年配置：当前金额与动态目标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当前金额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'Sources_Audit'!$H$2:$H$14</c:f>
              <c:strCache>
                <c:ptCount val="0"/>
              </c:strCache>
            </c:strRef>
          </c:cat>
          <c:val>
            <c:numRef>
              <c:f>'Sources_Audit'!$I$2:$I$14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动态目标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'Sources_Audit'!$H$2:$H$14</c:f>
              <c:strCache>
                <c:ptCount val="0"/>
              </c:strCache>
            </c:strRef>
          </c:cat>
          <c:val>
            <c:numRef>
              <c:f>'Sources_Audit'!$J$2:$J$14</c:f>
              <c:numCache>
                <c:formatCode>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3</xdr:col>
      <xdr:colOff>0</xdr:colOff>
      <xdr:row>1</xdr:row>
      <xdr:rowOff>0</xdr:rowOff>
    </xdr:from>
    <xdr:ext cx="7239000" cy="409575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9d79fe4a27f495d"/>
        </a:graphicData>
      </a:graphic>
    </xdr:graphicFrame>
    <xdr:clientData/>
  </xdr:oneCellAnchor>
</xdr:wsDr>
</file>

<file path=xl/tables/table1.xml><?xml version="1.0" encoding="utf-8"?>
<x:table xmlns:x="http://schemas.openxmlformats.org/spreadsheetml/2006/main" id="1" name="FirstYearAllocationTable" displayName="FirstYearAllocationTable" ref="A1:Q14" headerRowCount="1">
  <x:tableColumns count="17">
    <x:tableColumn id="1" name="配置键"/>
    <x:tableColumn id="2" name="配置项"/>
    <x:tableColumn id="3" name="资产层级"/>
    <x:tableColumn id="4" name="年度目标占比"/>
    <x:tableColumn id="5" name="映射代码"/>
    <x:tableColumn id="6" name="配置表目标金额"/>
    <x:tableColumn id="7" name="动态目标金额"/>
    <x:tableColumn id="8" name="当前金额"/>
    <x:tableColumn id="9" name="配置表当前金额约"/>
    <x:tableColumn id="10" name="年度资金缺口"/>
    <x:tableColumn id="11" name="年度完成率"/>
    <x:tableColumn id="12" name="目标收益下限"/>
    <x:tableColumn id="13" name="目标收益上限"/>
    <x:tableColumn id="14" name="配置状态"/>
    <x:tableColumn id="15" name="进度状态"/>
    <x:tableColumn id="16" name="执行约束"/>
    <x:tableColumn id="17" name="来源"/>
  </x:tableColumns>
  <x:tableStyleInfo name="TableStyleMedium2" showRowStripes="1"/>
</x:table>
</file>

<file path=xl/tables/table2.xml><?xml version="1.0" encoding="utf-8"?>
<x:table xmlns:x="http://schemas.openxmlformats.org/spreadsheetml/2006/main" id="2" name="AllocationMappingTable" displayName="AllocationMappingTable" ref="A1:E30" headerRowCount="1">
  <x:tableColumns count="5">
    <x:tableColumn id="1" name="配置键"/>
    <x:tableColumn id="2" name="代码"/>
    <x:tableColumn id="3" name="名称"/>
    <x:tableColumn id="4" name="当前市值"/>
    <x:tableColumn id="5" name="配置项"/>
  </x:tableColumns>
  <x:tableStyleInfo name="TableStyleMedium2" showRowStripes="1"/>
</x:table>
</file>

<file path=xl/tables/table3.xml><?xml version="1.0" encoding="utf-8"?>
<x:table xmlns:x="http://schemas.openxmlformats.org/spreadsheetml/2006/main" id="3" name="AllocationRulesTable" displayName="AllocationRulesTable" ref="A1:D22" headerRowCount="1">
  <x:tableColumns count="4">
    <x:tableColumn id="1" name="规则模块"/>
    <x:tableColumn id="2" name="规则"/>
    <x:tableColumn id="3" name="定义"/>
    <x:tableColumn id="4" name="执行含义"/>
  </x:tableColumns>
  <x:tableStyleInfo name="TableStyleMedium2" showRowStripes="1"/>
</x:table>
</file>

<file path=xl/tables/table4.xml><?xml version="1.0" encoding="utf-8"?>
<x:table xmlns:x="http://schemas.openxmlformats.org/spreadsheetml/2006/main" id="4" name="AllocationSourcesTable" displayName="AllocationSourcesTable" ref="A1:F6" headerRowCount="1">
  <x:tableColumns count="6">
    <x:tableColumn id="1" name="数据项"/>
    <x:tableColumn id="2" name="值/范围"/>
    <x:tableColumn id="3" name="单位"/>
    <x:tableColumn id="4" name="截至日期"/>
    <x:tableColumn id="5" name="来源"/>
    <x:tableColumn id="6" name="备注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455a3c2d7e7494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f4bb29f971a4a7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e1ec81c2e35465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c4eb75196ad426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b8d2234d842436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3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0" customHeight="1">
      <x:c r="A1" s="2" t="str">
        <x:v>第一年度全资产配置总览</x:v>
      </x:c>
      <x:c r="B1" s="2"/>
      <x:c r="C1" s="2"/>
      <x:c r="D1" s="2"/>
      <x:c r="E1" s="2"/>
      <x:c r="F1" s="2"/>
      <x:c r="G1" s="2"/>
      <x:c r="H1" s="2"/>
    </x:row>
    <x:row r="3">
      <x:c r="A3" s="31" t="str">
        <x:v>指标</x:v>
      </x:c>
      <x:c r="B3" s="6" t="str">
        <x:v>数值</x:v>
      </x:c>
    </x:row>
    <x:row r="4" ht="22" customHeight="1">
      <x:c r="A4" s="32" t="str">
        <x:v>当前全资产基准（元）</x:v>
      </x:c>
      <x:c r="B4" s="10" t="n">
        <x:v>4783000</x:v>
      </x:c>
    </x:row>
    <x:row r="5" ht="22" customHeight="1">
      <x:c r="A5" s="32" t="str">
        <x:v>第一年目标配置比例</x:v>
      </x:c>
      <x:c r="B5" s="11" t="n">
        <x:f>SUM(Allocation!D2:D14)</x:f>
        <x:v>1</x:v>
      </x:c>
    </x:row>
    <x:row r="6" ht="22" customHeight="1">
      <x:c r="A6" s="32" t="str">
        <x:v>第一年动态目标金额（元）</x:v>
      </x:c>
      <x:c r="B6" s="12" t="n">
        <x:f>SUM(Allocation!G2:G14)</x:f>
        <x:v>4783000</x:v>
      </x:c>
    </x:row>
    <x:row r="7" ht="22" customHeight="1">
      <x:c r="A7" s="32" t="str">
        <x:v>当前已映射金额（元）</x:v>
      </x:c>
      <x:c r="B7" s="12" t="n">
        <x:f>SUM(Allocation!H2:H14)</x:f>
        <x:v>994052.37</x:v>
      </x:c>
    </x:row>
    <x:row r="8" ht="22" customHeight="1">
      <x:c r="A8" s="32" t="str">
        <x:v>年度资金缺口（元）</x:v>
      </x:c>
      <x:c r="B8" s="13" t="n">
        <x:f>B6-B7</x:f>
        <x:v>3788947.63</x:v>
      </x:c>
    </x:row>
    <x:row r="9" ht="22" customHeight="1">
      <x:c r="A9" s="32" t="str">
        <x:v>年度完成率</x:v>
      </x:c>
      <x:c r="B9" s="14" t="n">
        <x:f>IF(B6=0,0,B7/B6)</x:f>
        <x:v>0.2078303094292285</x:v>
      </x:c>
    </x:row>
    <x:row r="10" ht="22" customHeight="1">
      <x:c r="A10" s="32" t="str">
        <x:v>未配置目标比例</x:v>
      </x:c>
      <x:c r="B10" s="14" t="n">
        <x:f>MAX(1-B5,0)</x:f>
        <x:v>0</x:v>
      </x:c>
    </x:row>
    <x:row r="12">
      <x:c r="A12" s="17" t="str">
        <x:v>口径说明：第一年配置使用全资产口径；证券账户目标只作为集中度参考。年度资金缺口只代表长期规划空间，不构成当日买入信号。爆量本身不是买点，新增资金仍需等待缩量回踩不破、龙头同步、次日转强。V2.8.5-QM还要求买入前完成量化验证、正期望、机会成本、反证、最大损失和能力圈检查。红利个股属于低波现金流层，必须排除高息陷阱后慢建。目标收益为观察区间，不是承诺收益。</x:v>
      </x:c>
      <x:c r="B12" s="17"/>
      <x:c r="C12" s="17"/>
      <x:c r="D12" s="17"/>
      <x:c r="E12" s="17"/>
      <x:c r="F12" s="17"/>
      <x:c r="G12" s="17"/>
      <x:c r="H12" s="17"/>
    </x:row>
    <x:row r="13">
      <x:c r="A13" s="17"/>
      <x:c r="B13" s="17"/>
      <x:c r="C13" s="17"/>
      <x:c r="D13" s="17"/>
      <x:c r="E13" s="17"/>
      <x:c r="F13" s="17"/>
      <x:c r="G13" s="17"/>
      <x:c r="H13" s="17"/>
    </x:row>
    <x:row r="14">
      <x:c r="A14" s="17"/>
      <x:c r="B14" s="17"/>
      <x:c r="C14" s="17"/>
      <x:c r="D14" s="17"/>
      <x:c r="E14" s="17"/>
      <x:c r="F14" s="17"/>
      <x:c r="G14" s="17"/>
      <x:c r="H14" s="17"/>
    </x:row>
    <x:row r="15">
      <x:c r="A15" s="17"/>
      <x:c r="B15" s="17"/>
      <x:c r="C15" s="17"/>
      <x:c r="D15" s="17"/>
      <x:c r="E15" s="17"/>
      <x:c r="F15" s="17"/>
      <x:c r="G15" s="17"/>
      <x:c r="H15" s="17"/>
    </x:row>
  </x:sheetData>
  <x:mergeCells>
    <x:mergeCell ref="A1:H1"/>
    <x:mergeCell ref="A12:H15"/>
  </x:mergeCells>
  <x:pageMargins left="0.7" right="0.7" top="0.75" bottom="0.75" header="0.3" footer="0.3"/>
  <x:drawing xmlns:r="http://schemas.openxmlformats.org/officeDocument/2006/relationships" r:id="R4455a3c2d7e74941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18" hidden="0" customWidth="1"/>
    <x:col min="4" max="4" width="13" hidden="0" customWidth="1"/>
    <x:col min="5" max="5" width="23" hidden="0" customWidth="1"/>
    <x:col min="6" max="6" width="16" hidden="0" customWidth="1"/>
    <x:col min="7" max="7" width="16" hidden="0" customWidth="1"/>
    <x:col min="8" max="8" width="14" hidden="0" customWidth="1"/>
    <x:col min="9" max="9" width="16" hidden="0" customWidth="1"/>
    <x:col min="10" max="10" width="16" hidden="0" customWidth="1"/>
    <x:col min="11" max="11" width="13" hidden="0" customWidth="1"/>
    <x:col min="12" max="12" width="13" hidden="0" customWidth="1"/>
    <x:col min="13" max="13" width="13" hidden="0" customWidth="1"/>
    <x:col min="14" max="14" width="18" hidden="0" customWidth="1"/>
    <x:col min="15" max="15" width="18" hidden="0" customWidth="1"/>
    <x:col min="16" max="16" width="46" hidden="0" customWidth="1"/>
    <x:col min="17" max="17" width="20" hidden="0" customWidth="1"/>
  </x:cols>
  <x:sheetData>
    <x:row r="1">
      <x:c r="A1" s="6" t="str">
        <x:v>配置键</x:v>
      </x:c>
      <x:c r="B1" s="6" t="str">
        <x:v>配置项</x:v>
      </x:c>
      <x:c r="C1" s="6" t="str">
        <x:v>资产层级</x:v>
      </x:c>
      <x:c r="D1" s="6" t="str">
        <x:v>年度目标占比</x:v>
      </x:c>
      <x:c r="E1" s="6" t="str">
        <x:v>映射代码</x:v>
      </x:c>
      <x:c r="F1" s="6" t="str">
        <x:v>配置表目标金额</x:v>
      </x:c>
      <x:c r="G1" s="6" t="str">
        <x:v>动态目标金额</x:v>
      </x:c>
      <x:c r="H1" s="6" t="str">
        <x:v>当前金额</x:v>
      </x:c>
      <x:c r="I1" s="6" t="str">
        <x:v>配置表当前金额约</x:v>
      </x:c>
      <x:c r="J1" s="6" t="str">
        <x:v>年度资金缺口</x:v>
      </x:c>
      <x:c r="K1" s="6" t="str">
        <x:v>年度完成率</x:v>
      </x:c>
      <x:c r="L1" s="6" t="str">
        <x:v>目标收益下限</x:v>
      </x:c>
      <x:c r="M1" s="6" t="str">
        <x:v>目标收益上限</x:v>
      </x:c>
      <x:c r="N1" s="6" t="str">
        <x:v>配置状态</x:v>
      </x:c>
      <x:c r="O1" s="6" t="str">
        <x:v>进度状态</x:v>
      </x:c>
      <x:c r="P1" s="6" t="str">
        <x:v>执行约束</x:v>
      </x:c>
      <x:c r="Q1" s="6" t="str">
        <x:v>来源</x:v>
      </x:c>
    </x:row>
    <x:row r="2">
      <x:c r="A2" s="7" t="str">
        <x:v>semiconductor</x:v>
      </x:c>
      <x:c r="B2" s="21" t="str">
        <x:v>半导体设备ETF 159516</x:v>
      </x:c>
      <x:c r="C2" s="21" t="str">
        <x:v>核心成长</x:v>
      </x:c>
      <x:c r="D2" s="22" t="n">
        <x:v>0.1</x:v>
      </x:c>
      <x:c r="E2" s="21" t="str">
        <x:v>159516</x:v>
      </x:c>
      <x:c r="F2" s="23" t="n">
        <x:v>478300</x:v>
      </x:c>
      <x:c r="G2" s="24" t="n">
        <x:f>Summary!$B$4*D2</x:f>
        <x:v>478300</x:v>
      </x:c>
      <x:c r="H2" s="24" t="n">
        <x:f>SUMIF(Mapping!$A$2:$A$30,A2,Mapping!$D$2:$D$30)</x:f>
        <x:v>62880</x:v>
      </x:c>
      <x:c r="I2" s="25" t="n">
        <x:v>60640</x:v>
      </x:c>
      <x:c r="J2" s="26" t="n">
        <x:f>G2-H2</x:f>
        <x:v>415420</x:v>
      </x:c>
      <x:c r="K2" s="27" t="n">
        <x:f>IF(G2=0,0,H2/G2)</x:f>
        <x:v>0.13146560735939786</x:v>
      </x:c>
      <x:c r="L2" s="27" t="n">
        <x:v>0.2</x:v>
      </x:c>
      <x:c r="M2" s="27" t="n">
        <x:v>0.3</x:v>
      </x:c>
      <x:c r="N2" s="28" t="str">
        <x:v>第一核心候选</x:v>
      </x:c>
      <x:c r="O2" s="28" t="str">
        <x:f>IF(E2="待选","待选择合格标的",IF(J2&lt;=0,"达到或超过年度目标",IF(K2&gt;=80%,"接近年度目标","配置中")))</x:f>
        <x:v>配置中</x:v>
      </x:c>
      <x:c r="P2" s="29" t="str">
        <x:v>机会成本第一优先+主线周期未退潮+质量评分≥8+量化验证分≥8+爆量后缩量回踩不破+龙头不破+份额未连续赎回+次日转强+反证检查</x:v>
      </x:c>
      <x:c r="Q2" s="29" t="str">
        <x:v>V2.8.5-QM量化验证与认知防错增强版</x:v>
      </x:c>
    </x:row>
    <x:row r="3">
      <x:c r="A3" s="7" t="str">
        <x:v>robotics</x:v>
      </x:c>
      <x:c r="B3" s="21" t="str">
        <x:v>机器人ETF 562500</x:v>
      </x:c>
      <x:c r="C3" s="21" t="str">
        <x:v>核心成长</x:v>
      </x:c>
      <x:c r="D3" s="22" t="n">
        <x:v>0.08</x:v>
      </x:c>
      <x:c r="E3" s="21" t="str">
        <x:v>562500</x:v>
      </x:c>
      <x:c r="F3" s="23" t="n">
        <x:v>382640</x:v>
      </x:c>
      <x:c r="G3" s="24" t="n">
        <x:f>Summary!$B$4*D3</x:f>
        <x:v>382640</x:v>
      </x:c>
      <x:c r="H3" s="24" t="n">
        <x:f>SUMIF(Mapping!$A$2:$A$30,A3,Mapping!$D$2:$D$30)</x:f>
        <x:v>137787.6</x:v>
      </x:c>
      <x:c r="I3" s="25" t="n">
        <x:v>139459</x:v>
      </x:c>
      <x:c r="J3" s="26" t="n">
        <x:f>G3-H3</x:f>
        <x:v>244852.4</x:v>
      </x:c>
      <x:c r="K3" s="27" t="n">
        <x:f>IF(G3=0,0,H3/G3)</x:f>
        <x:v>0.3600972193184194</x:v>
      </x:c>
      <x:c r="L3" s="27" t="n">
        <x:v>0.18</x:v>
      </x:c>
      <x:c r="M3" s="27" t="n">
        <x:v>0.25</x:v>
      </x:c>
      <x:c r="N3" s="28" t="str">
        <x:v>核心持有</x:v>
      </x:c>
      <x:c r="O3" s="28" t="str">
        <x:f>IF(E3="待选","待选择合格标的",IF(J3&lt;=0,"达到或超过年度目标",IF(K3&gt;=80%,"接近年度目标","配置中")))</x:f>
        <x:v>配置中</x:v>
      </x:c>
      <x:c r="P3" s="29" t="str">
        <x:v>证券账户局部偏高但全资产不高+持有不加+不因盈利回吐恐惧乱卖+不因回调直接补仓+止跌三部曲后复审+量化验证重新通过前不新增</x:v>
      </x:c>
      <x:c r="Q3" s="29" t="str">
        <x:v>V2.8.5-QM量化验证与认知防错增强版</x:v>
      </x:c>
    </x:row>
    <x:row r="4">
      <x:c r="A4" s="7" t="str">
        <x:v>chinext_ai</x:v>
      </x:c>
      <x:c r="B4" s="21" t="str">
        <x:v>创业板人工智能ETF 159381</x:v>
      </x:c>
      <x:c r="C4" s="21" t="str">
        <x:v>核心成长</x:v>
      </x:c>
      <x:c r="D4" s="22" t="n">
        <x:v>0.07</x:v>
      </x:c>
      <x:c r="E4" s="21" t="str">
        <x:v>159381</x:v>
      </x:c>
      <x:c r="F4" s="23" t="n">
        <x:v>334810</x:v>
      </x:c>
      <x:c r="G4" s="24" t="n">
        <x:f>Summary!$B$4*D4</x:f>
        <x:v>334810.00000000006</x:v>
      </x:c>
      <x:c r="H4" s="24" t="n">
        <x:f>SUMIF(Mapping!$A$2:$A$30,A4,Mapping!$D$2:$D$30)</x:f>
        <x:v>22365</x:v>
      </x:c>
      <x:c r="I4" s="25" t="n">
        <x:v>21675</x:v>
      </x:c>
      <x:c r="J4" s="26" t="n">
        <x:f>G4-H4</x:f>
        <x:v>312445.00000000006</x:v>
      </x:c>
      <x:c r="K4" s="27" t="n">
        <x:f>IF(G4=0,0,H4/G4)</x:f>
        <x:v>0.06679908007526655</x:v>
      </x:c>
      <x:c r="L4" s="27" t="n">
        <x:v>0.2</x:v>
      </x:c>
      <x:c r="M4" s="27" t="n">
        <x:v>0.3</x:v>
      </x:c>
      <x:c r="N4" s="28" t="str">
        <x:v>AI硬件增强仓</x:v>
      </x:c>
      <x:c r="O4" s="28" t="str">
        <x:f>IF(E4="待选","待选择合格标的",IF(J4&lt;=0,"达到或超过年度目标",IF(K4&gt;=80%,"接近年度目标","配置中")))</x:f>
        <x:v>配置中</x:v>
      </x:c>
      <x:c r="P4" s="29" t="str">
        <x:v>机会成本低于159516+反确认偏误检查+不追研报催化高开+光模块/CPO/AI芯片龙头缩量企稳后回踩确认+正期望优于A500/可转债</x:v>
      </x:c>
      <x:c r="Q4" s="29" t="str">
        <x:v>V2.8.5-QM量化验证与认知防错增强版</x:v>
      </x:c>
    </x:row>
    <x:row r="5">
      <x:c r="A5" s="7" t="str">
        <x:v>innovative_medicine</x:v>
      </x:c>
      <x:c r="B5" s="21" t="str">
        <x:v>创新药ETF</x:v>
      </x:c>
      <x:c r="C5" s="21" t="str">
        <x:v>核心观察</x:v>
      </x:c>
      <x:c r="D5" s="22" t="n">
        <x:v>0.03</x:v>
      </x:c>
      <x:c r="E5" s="21" t="str">
        <x:v>588700</x:v>
      </x:c>
      <x:c r="F5" s="23" t="n">
        <x:v>143490</x:v>
      </x:c>
      <x:c r="G5" s="24" t="n">
        <x:f>Summary!$B$4*D5</x:f>
        <x:v>143490</x:v>
      </x:c>
      <x:c r="H5" s="24" t="n">
        <x:f>SUMIF(Mapping!$A$2:$A$30,A5,Mapping!$D$2:$D$30)</x:f>
        <x:v>0</x:v>
      </x:c>
      <x:c r="I5" s="25" t="n">
        <x:v>0</x:v>
      </x:c>
      <x:c r="J5" s="26" t="n">
        <x:f>G5-H5</x:f>
        <x:v>143490</x:v>
      </x:c>
      <x:c r="K5" s="27" t="n">
        <x:f>IF(G5=0,0,H5/G5)</x:f>
        <x:v>0</x:v>
      </x:c>
      <x:c r="L5" s="27" t="n">
        <x:v>0.15</x:v>
      </x:c>
      <x:c r="M5" s="27" t="n">
        <x:v>0.25</x:v>
      </x:c>
      <x:c r="N5" s="28" t="str">
        <x:v>待建仓</x:v>
      </x:c>
      <x:c r="O5" s="28" t="str">
        <x:f>IF(E5="待选","待选择合格标的",IF(J5&lt;=0,"达到或超过年度目标",IF(K5&gt;=80%,"接近年度目标","配置中")))</x:f>
        <x:v>配置中</x:v>
      </x:c>
      <x:c r="P5" s="29" t="str">
        <x:v>四证据模型+价格提醒后二次确认+证券账户上限</x:v>
      </x:c>
      <x:c r="Q5" s="29" t="str">
        <x:v>V2.8.5主线周期增强版</x:v>
      </x:c>
    </x:row>
    <x:row r="6">
      <x:c r="A6" s="7" t="str">
        <x:v>quality_stock_basket</x:v>
      </x:c>
      <x:c r="B6" s="21" t="str">
        <x:v>AI/半导体高质量个股篮子</x:v>
      </x:c>
      <x:c r="C6" s="21" t="str">
        <x:v>核心成长</x:v>
      </x:c>
      <x:c r="D6" s="22" t="n">
        <x:v>0.03</x:v>
      </x:c>
      <x:c r="E6" s="21" t="str">
        <x:v>688012|002371|688072|688120|300308|300502|300394|002463|688008|601138</x:v>
      </x:c>
      <x:c r="F6" s="23" t="n">
        <x:v>143490</x:v>
      </x:c>
      <x:c r="G6" s="24" t="n">
        <x:f>Summary!$B$4*D6</x:f>
        <x:v>143490</x:v>
      </x:c>
      <x:c r="H6" s="24" t="n">
        <x:f>SUMIF(Mapping!$A$2:$A$30,A6,Mapping!$D$2:$D$30)</x:f>
        <x:v>0</x:v>
      </x:c>
      <x:c r="I6" s="25" t="n">
        <x:v>0</x:v>
      </x:c>
      <x:c r="J6" s="26" t="n">
        <x:f>G6-H6</x:f>
        <x:v>143490</x:v>
      </x:c>
      <x:c r="K6" s="27" t="n">
        <x:f>IF(G6=0,0,H6/G6)</x:f>
        <x:v>0</x:v>
      </x:c>
      <x:c r="L6" s="27" t="n">
        <x:v>0.25</x:v>
      </x:c>
      <x:c r="M6" s="27" t="n">
        <x:v>0.35</x:v>
      </x:c>
      <x:c r="N6" s="28" t="str">
        <x:v>长期跟踪池</x:v>
      </x:c>
      <x:c r="O6" s="28" t="str">
        <x:f>IF(E6="待选","待选择合格标的",IF(J6&lt;=0,"达到或超过年度目标",IF(K6&gt;=80%,"接近年度目标","配置中")))</x:f>
        <x:v>配置中</x:v>
      </x:c>
      <x:c r="P6" s="29" t="str">
        <x:v>能力圈内小仓验证+个股机会成本高于核心ETF+质量评分≥8+主线未退潮+量化验证分≥8+爆量后缩量回踩+不破爆量K低点+无放量滞涨+情绪≤4+首仓0.3%-0.5%</x:v>
      </x:c>
      <x:c r="Q6" s="29" t="str">
        <x:v>V2.8.5-QM量化验证与认知防错增强版</x:v>
      </x:c>
    </x:row>
    <x:row r="7">
      <x:c r="A7" s="7" t="str">
        <x:v>a500_low_vol</x:v>
      </x:c>
      <x:c r="B7" s="21" t="str">
        <x:v>中证A500ETF</x:v>
      </x:c>
      <x:c r="C7" s="21" t="str">
        <x:v>低波权益</x:v>
      </x:c>
      <x:c r="D7" s="22" t="n">
        <x:v>0.1</x:v>
      </x:c>
      <x:c r="E7" s="21" t="str">
        <x:v>159338|510210</x:v>
      </x:c>
      <x:c r="F7" s="23" t="n">
        <x:v>478300</x:v>
      </x:c>
      <x:c r="G7" s="24" t="n">
        <x:f>Summary!$B$4*D7</x:f>
        <x:v>478300</x:v>
      </x:c>
      <x:c r="H7" s="24" t="n">
        <x:f>SUMIF(Mapping!$A$2:$A$30,A7,Mapping!$D$2:$D$30)</x:f>
        <x:v>111531.2</x:v>
      </x:c>
      <x:c r="I7" s="25" t="n">
        <x:v>109274</x:v>
      </x:c>
      <x:c r="J7" s="26" t="n">
        <x:f>G7-H7</x:f>
        <x:v>366768.8</x:v>
      </x:c>
      <x:c r="K7" s="27" t="n">
        <x:f>IF(G7=0,0,H7/G7)</x:f>
        <x:v>0.2331825214300648</x:v>
      </x:c>
      <x:c r="L7" s="27" t="n">
        <x:v>0.06</x:v>
      </x:c>
      <x:c r="M7" s="27" t="n">
        <x:v>0.1</x:v>
      </x:c>
      <x:c r="N7" s="28" t="str">
        <x:v>低波权益底仓</x:v>
      </x:c>
      <x:c r="O7" s="28" t="str">
        <x:f>IF(E7="待选","待选择合格标的",IF(J7&lt;=0,"达到或超过年度目标",IF(K7&gt;=80%,"接近年度目标","配置中")))</x:f>
        <x:v>配置中</x:v>
      </x:c>
      <x:c r="P7" s="29" t="str">
        <x:v>宽基合并统计+避免A500与上证ETF重复暴露+按配置节奏分批+不在指数大涨日追买+不计入现金安全垫</x:v>
      </x:c>
      <x:c r="Q7" s="29" t="str">
        <x:v>V2.8.5-QM量化验证与认知防错增强版</x:v>
      </x:c>
    </x:row>
    <x:row r="8">
      <x:c r="A8" s="7" t="str">
        <x:v>dividend_low_vol</x:v>
      </x:c>
      <x:c r="B8" s="21" t="str">
        <x:v>红利低波ETF</x:v>
      </x:c>
      <x:c r="C8" s="21" t="str">
        <x:v>低波权益</x:v>
      </x:c>
      <x:c r="D8" s="22" t="n">
        <x:v>0.05</x:v>
      </x:c>
      <x:c r="E8" s="21" t="str">
        <x:v>512890</x:v>
      </x:c>
      <x:c r="F8" s="23" t="n">
        <x:v>239150</x:v>
      </x:c>
      <x:c r="G8" s="24" t="n">
        <x:f>Summary!$B$4*D8</x:f>
        <x:v>239150</x:v>
      </x:c>
      <x:c r="H8" s="24" t="n">
        <x:f>SUMIF(Mapping!$A$2:$A$30,A8,Mapping!$D$2:$D$30)</x:f>
        <x:v>42332</x:v>
      </x:c>
      <x:c r="I8" s="25" t="n">
        <x:v>42370</x:v>
      </x:c>
      <x:c r="J8" s="26" t="n">
        <x:f>G8-H8</x:f>
        <x:v>196818</x:v>
      </x:c>
      <x:c r="K8" s="27" t="n">
        <x:f>IF(G8=0,0,H8/G8)</x:f>
        <x:v>0.17701024461634957</x:v>
      </x:c>
      <x:c r="L8" s="27" t="n">
        <x:v>0.05</x:v>
      </x:c>
      <x:c r="M8" s="27" t="n">
        <x:v>0.08</x:v>
      </x:c>
      <x:c r="N8" s="28" t="str">
        <x:v>红利低波ETF底仓</x:v>
      </x:c>
      <x:c r="O8" s="28" t="str">
        <x:f>IF(E8="待选","待选择合格标的",IF(J8&lt;=0,"达到或超过年度目标",IF(K8&gt;=80%,"接近年度目标","配置中")))</x:f>
        <x:v>配置中</x:v>
      </x:c>
      <x:c r="P8" s="29" t="str">
        <x:v>不计入现金安全垫+与红利个股合计慢建+遵守买点与账户上限+市场下跌抗跌/权重稳定/缩量回踩时分批</x:v>
      </x:c>
      <x:c r="Q8" s="29" t="str">
        <x:v>V2.8.5-QM红利现金流增强版</x:v>
      </x:c>
    </x:row>
    <x:row r="9">
      <x:c r="A9" s="7" t="str">
        <x:v>dividend_cashflow_stocks</x:v>
      </x:c>
      <x:c r="B9" s="21" t="str">
        <x:v>长期稳定分红个股篮子</x:v>
      </x:c>
      <x:c r="C9" s="21" t="str">
        <x:v>低波现金流</x:v>
      </x:c>
      <x:c r="D9" s="22" t="n">
        <x:v>0.05</x:v>
      </x:c>
      <x:c r="E9" s="21" t="str">
        <x:v>600900|600941|601398|601939|601088|000333</x:v>
      </x:c>
      <x:c r="F9" s="23" t="n">
        <x:v>239150</x:v>
      </x:c>
      <x:c r="G9" s="24" t="n">
        <x:f>Summary!$B$4*D9</x:f>
        <x:v>239150</x:v>
      </x:c>
      <x:c r="H9" s="24" t="n">
        <x:f>SUMIF(Mapping!$A$2:$A$30,A9,Mapping!$D$2:$D$30)</x:f>
        <x:v>0</x:v>
      </x:c>
      <x:c r="I9" s="25" t="n">
        <x:v>0</x:v>
      </x:c>
      <x:c r="J9" s="26" t="n">
        <x:f>G9-H9</x:f>
        <x:v>239150</x:v>
      </x:c>
      <x:c r="K9" s="27" t="n">
        <x:f>IF(G9=0,0,H9/G9)</x:f>
        <x:v>0</x:v>
      </x:c>
      <x:c r="L9" s="27" t="n">
        <x:v>0.05</x:v>
      </x:c>
      <x:c r="M9" s="27" t="n">
        <x:v>0.1</x:v>
      </x:c>
      <x:c r="N9" s="28" t="str">
        <x:v>红利现金流个股观察池</x:v>
      </x:c>
      <x:c r="O9" s="28" t="str">
        <x:f>IF(E9="待选","待选择合格标的",IF(J9&lt;=0,"达到或超过年度目标",IF(K9&gt;=80%,"接近年度目标","配置中")))</x:f>
        <x:v>配置中</x:v>
      </x:c>
      <x:c r="P9" s="29" t="str">
        <x:v>先建观察池不追高+分红连续性≥5年+经营现金流覆盖分红+分红率30%-75%优先+股息率安全垫达标+估值历史中低位+缩量回踩/横盘止跌+高息陷阱一票否决</x:v>
      </x:c>
      <x:c r="Q9" s="29" t="str">
        <x:v>V2.8.5-QM红利现金流增强版</x:v>
      </x:c>
    </x:row>
    <x:row r="10">
      <x:c r="A10" s="7" t="str">
        <x:v>convertible_bond</x:v>
      </x:c>
      <x:c r="B10" s="21" t="str">
        <x:v>可转债ETF</x:v>
      </x:c>
      <x:c r="C10" s="21" t="str">
        <x:v>弹性低波</x:v>
      </x:c>
      <x:c r="D10" s="22" t="n">
        <x:v>0.1</x:v>
      </x:c>
      <x:c r="E10" s="21" t="str">
        <x:v>511180</x:v>
      </x:c>
      <x:c r="F10" s="23" t="n">
        <x:v>478300</x:v>
      </x:c>
      <x:c r="G10" s="24" t="n">
        <x:f>Summary!$B$4*D10</x:f>
        <x:v>478300</x:v>
      </x:c>
      <x:c r="H10" s="24" t="n">
        <x:f>SUMIF(Mapping!$A$2:$A$30,A10,Mapping!$D$2:$D$30)</x:f>
        <x:v>38433</x:v>
      </x:c>
      <x:c r="I10" s="25" t="n">
        <x:v>38499</x:v>
      </x:c>
      <x:c r="J10" s="26" t="n">
        <x:f>G10-H10</x:f>
        <x:v>439867</x:v>
      </x:c>
      <x:c r="K10" s="27" t="n">
        <x:f>IF(G10=0,0,H10/G10)</x:f>
        <x:v>0.08035333472715869</x:v>
      </x:c>
      <x:c r="L10" s="27" t="n">
        <x:v>0.06</x:v>
      </x:c>
      <x:c r="M10" s="27" t="n">
        <x:v>0.1</x:v>
      </x:c>
      <x:c r="N10" s="28" t="str">
        <x:v>弹性低波配置</x:v>
      </x:c>
      <x:c r="O10" s="28" t="str">
        <x:f>IF(E10="待选","待选择合格标的",IF(J10&lt;=0,"达到或超过年度目标",IF(K10&gt;=80%,"接近年度目标","配置中")))</x:f>
        <x:v>配置中</x:v>
      </x:c>
      <x:c r="P10" s="29" t="str">
        <x:v>不计入现金安全垫+每次小额分批+不在转债大涨日追+用于缓冲和反弹弹性</x:v>
      </x:c>
      <x:c r="Q10" s="29" t="str">
        <x:v>V2.8.5-QM量化验证与认知防错增强版</x:v>
      </x:c>
    </x:row>
    <x:row r="11">
      <x:c r="A11" s="7" t="str">
        <x:v>pure_defense</x:v>
      </x:c>
      <x:c r="B11" s="21" t="str">
        <x:v>现金/货基/国债ETF/逆回购</x:v>
      </x:c>
      <x:c r="C11" s="21" t="str">
        <x:v>纯防御层</x:v>
      </x:c>
      <x:c r="D11" s="22" t="n">
        <x:v>0.36</x:v>
      </x:c>
      <x:c r="E11" s="21" t="str">
        <x:v>CASH|511010</x:v>
      </x:c>
      <x:c r="F11" s="23" t="n">
        <x:v>1721880</x:v>
      </x:c>
      <x:c r="G11" s="24" t="n">
        <x:f>Summary!$B$4*D11</x:f>
        <x:v>1721880</x:v>
      </x:c>
      <x:c r="H11" s="24" t="n">
        <x:f>SUMIF(Mapping!$A$2:$A$30,A11,Mapping!$D$2:$D$30)</x:f>
        <x:v>370027.57</x:v>
      </x:c>
      <x:c r="I11" s="25" t="n">
        <x:v>307861</x:v>
      </x:c>
      <x:c r="J11" s="26" t="n">
        <x:f>G11-H11</x:f>
        <x:v>1351852.43</x:v>
      </x:c>
      <x:c r="K11" s="27" t="n">
        <x:f>IF(G11=0,0,H11/G11)</x:f>
        <x:v>0.21489742026157457</x:v>
      </x:c>
      <x:c r="L11" s="27" t="n">
        <x:v>0.02</x:v>
      </x:c>
      <x:c r="M11" s="27" t="n">
        <x:v>0.04</x:v>
      </x:c>
      <x:c r="N11" s="28" t="str">
        <x:v>安全垫显式保留</x:v>
      </x:c>
      <x:c r="O11" s="28" t="str">
        <x:f>IF(E11="待选","待选择合格标的",IF(J11&lt;=0,"达到或超过年度目标",IF(K11&gt;=80%,"接近年度目标","配置中")))</x:f>
        <x:v>配置中</x:v>
      </x:c>
      <x:c r="P11" s="29" t="str">
        <x:v>纯防御层不能降为0；CASH代表证券账户可用现金；国债ETF可计入防御层和现金安全垫；红利个股不是现金安全垫；不因短期跑输科技而切走</x:v>
      </x:c>
      <x:c r="Q11" s="29" t="str">
        <x:v>V2.8.5-QM红利现金流增强版</x:v>
      </x:c>
    </x:row>
    <x:row r="12">
      <x:c r="A12" s="7" t="str">
        <x:v>tactical_opportunity</x:v>
      </x:c>
      <x:c r="B12" s="21" t="str">
        <x:v>战术机会仓</x:v>
      </x:c>
      <x:c r="C12" s="21" t="str">
        <x:v>战术仓</x:v>
      </x:c>
      <x:c r="D12" s="22" t="n">
        <x:v>0.03</x:v>
      </x:c>
      <x:c r="E12" s="21" t="str">
        <x:v>待选</x:v>
      </x:c>
      <x:c r="F12" s="23" t="n">
        <x:v>143490</x:v>
      </x:c>
      <x:c r="G12" s="24" t="n">
        <x:f>Summary!$B$4*D12</x:f>
        <x:v>143490</x:v>
      </x:c>
      <x:c r="H12" s="24" t="n">
        <x:f>SUMIF(Mapping!$A$2:$A$30,A12,Mapping!$D$2:$D$30)</x:f>
        <x:v>0</x:v>
      </x:c>
      <x:c r="I12" s="25" t="n">
        <x:v>0</x:v>
      </x:c>
      <x:c r="J12" s="26" t="n">
        <x:f>G12-H12</x:f>
        <x:v>143490</x:v>
      </x:c>
      <x:c r="K12" s="27" t="n">
        <x:f>IF(G12=0,0,H12/G12)</x:f>
        <x:v>0</x:v>
      </x:c>
      <x:c r="L12" s="27" t="n">
        <x:v>0.15</x:v>
      </x:c>
      <x:c r="M12" s="27" t="n">
        <x:v>0.3</x:v>
      </x:c>
      <x:c r="N12" s="28" t="str">
        <x:v>待建仓</x:v>
      </x:c>
      <x:c r="O12" s="28" t="str">
        <x:f>IF(E12="待选","待选择合格标的",IF(J12&lt;=0,"达到或超过年度目标",IF(K12&gt;=80%,"接近年度目标","配置中")))</x:f>
        <x:v>待选择合格标的</x:v>
      </x:c>
      <x:c r="P12" s="29" t="str">
        <x:v>单日仅一个买入方向+严格止损与退出+不得侵蚀核心与防御层</x:v>
      </x:c>
      <x:c r="Q12" s="29" t="str">
        <x:v>V2.8.5主线周期增强版</x:v>
      </x:c>
    </x:row>
    <x:row r="13">
      <x:c r="A13" s="7" t="str">
        <x:v>cloud_transition</x:v>
      </x:c>
      <x:c r="B13" s="21" t="str">
        <x:v>云计算ETF</x:v>
      </x:c>
      <x:c r="C13" s="21" t="str">
        <x:v>过渡仓</x:v>
      </x:c>
      <x:c r="D13" s="22" t="n">
        <x:v>0</x:v>
      </x:c>
      <x:c r="E13" s="21" t="str">
        <x:v>516630</x:v>
      </x:c>
      <x:c r="F13" s="23" t="n">
        <x:v>0</x:v>
      </x:c>
      <x:c r="G13" s="24" t="n">
        <x:f>Summary!$B$4*D13</x:f>
        <x:v>0</x:v>
      </x:c>
      <x:c r="H13" s="24" t="n">
        <x:f>SUMIF(Mapping!$A$2:$A$30,A13,Mapping!$D$2:$D$30)</x:f>
        <x:v>64787</x:v>
      </x:c>
      <x:c r="I13" s="25" t="n">
        <x:v>63344</x:v>
      </x:c>
      <x:c r="J13" s="26" t="n">
        <x:f>G13-H13</x:f>
        <x:v>-64787</x:v>
      </x:c>
      <x:c r="K13" s="27" t="n">
        <x:f>IF(G13=0,0,H13/G13)</x:f>
        <x:v>0</x:v>
      </x:c>
      <x:c r="L13" s="27" t="n">
        <x:v>0</x:v>
      </x:c>
      <x:c r="M13" s="27" t="n">
        <x:v>0</x:v>
      </x:c>
      <x:c r="N13" s="28" t="str">
        <x:v>反弹后降级</x:v>
      </x:c>
      <x:c r="O13" s="28" t="str">
        <x:f>IF(E13="待选","待选择合格标的",IF(J13&lt;=0,"达到或超过年度目标",IF(K13&gt;=80%,"接近年度目标","配置中")))</x:f>
        <x:v>达到或超过年度目标</x:v>
      </x:c>
      <x:c r="P13" s="29" t="str">
        <x:v>机会成本低于159516和159381+不能因名字带AI就当核心AI+不主动加仓+反弹压缩+量化验证重新强于159381前不升级</x:v>
      </x:c>
      <x:c r="Q13" s="29" t="str">
        <x:v>V2.8.5-QM量化验证与认知防错增强版</x:v>
      </x:c>
    </x:row>
    <x:row r="14">
      <x:c r="A14" s="7" t="str">
        <x:v>new_energy_legacy</x:v>
      </x:c>
      <x:c r="B14" s="21" t="str">
        <x:v>比亚迪+绿电</x:v>
      </x:c>
      <x:c r="C14" s="21" t="str">
        <x:v>遗留仓</x:v>
      </x:c>
      <x:c r="D14" s="22" t="n">
        <x:v>0</x:v>
      </x:c>
      <x:c r="E14" s="21" t="str">
        <x:v>002594|562550</x:v>
      </x:c>
      <x:c r="F14" s="23" t="n">
        <x:v>0</x:v>
      </x:c>
      <x:c r="G14" s="24" t="n">
        <x:f>Summary!$B$4*D14</x:f>
        <x:v>0</x:v>
      </x:c>
      <x:c r="H14" s="24" t="n">
        <x:f>SUMIF(Mapping!$A$2:$A$30,A14,Mapping!$D$2:$D$30)</x:f>
        <x:v>143909</x:v>
      </x:c>
      <x:c r="I14" s="25" t="n">
        <x:v>143909</x:v>
      </x:c>
      <x:c r="J14" s="26" t="n">
        <x:f>G14-H14</x:f>
        <x:v>-143909</x:v>
      </x:c>
      <x:c r="K14" s="27" t="n">
        <x:f>IF(G14=0,0,H14/G14)</x:f>
        <x:v>0</x:v>
      </x:c>
      <x:c r="L14" s="27" t="n">
        <x:v>0</x:v>
      </x:c>
      <x:c r="M14" s="27" t="n">
        <x:v>0</x:v>
      </x:c>
      <x:c r="N14" s="28" t="str">
        <x:v>压降释放资金</x:v>
      </x:c>
      <x:c r="O14" s="28" t="str">
        <x:f>IF(E14="待选","待选择合格标的",IF(J14&lt;=0,"达到或超过年度目标",IF(K14&gt;=80%,"接近年度目标","配置中")))</x:f>
        <x:v>达到或超过年度目标</x:v>
      </x:c>
      <x:c r="P14" s="29" t="str">
        <x:v>沉没成本不构成补仓理由+遗留仓不加仓+反弹减+释放资金转向核心主线/红利现金流观察和现金等待买点+只做风险监控不做买点新增</x:v>
      </x:c>
      <x:c r="Q14" s="29" t="str">
        <x:v>V2.8.5-QM红利现金流增强版</x:v>
      </x:c>
    </x:row>
  </x:sheetData>
  <x:pageMargins left="0.7" right="0.7" top="0.75" bottom="0.75" header="0.3" footer="0.3"/>
  <x:tableParts count="1">
    <x:tablePart xmlns:r="http://schemas.openxmlformats.org/officeDocument/2006/relationships" r:id="Rdf4bb29f971a4a7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" hidden="0" customWidth="1"/>
    <x:col min="3" max="3" width="22" hidden="0" customWidth="1"/>
    <x:col min="4" max="4" width="16" hidden="0" customWidth="1"/>
    <x:col min="5" max="5" width="30" hidden="0" customWidth="1"/>
  </x:cols>
  <x:sheetData>
    <x:row r="1">
      <x:c r="A1" s="6" t="str">
        <x:v>配置键</x:v>
      </x:c>
      <x:c r="B1" s="6" t="str">
        <x:v>代码</x:v>
      </x:c>
      <x:c r="C1" s="6" t="str">
        <x:v>名称</x:v>
      </x:c>
      <x:c r="D1" s="6" t="str">
        <x:v>当前市值</x:v>
      </x:c>
      <x:c r="E1" s="6" t="str">
        <x:v>配置项</x:v>
      </x:c>
    </x:row>
    <x:row r="2">
      <x:c r="A2" s="7" t="str">
        <x:v>semiconductor</x:v>
      </x:c>
      <x:c r="B2" s="7" t="str">
        <x:v>159516</x:v>
      </x:c>
      <x:c r="C2" s="7" t="str">
        <x:v>半导体设备ETF</x:v>
      </x:c>
      <x:c r="D2" s="10" t="n">
        <x:v>62880</x:v>
      </x:c>
      <x:c r="E2" s="7" t="str">
        <x:v>半导体设备ETF 159516</x:v>
      </x:c>
    </x:row>
    <x:row r="3">
      <x:c r="A3" s="7" t="str">
        <x:v>robotics</x:v>
      </x:c>
      <x:c r="B3" s="7" t="str">
        <x:v>562500</x:v>
      </x:c>
      <x:c r="C3" s="7" t="str">
        <x:v>机器人ETF</x:v>
      </x:c>
      <x:c r="D3" s="10" t="n">
        <x:v>137787.6</x:v>
      </x:c>
      <x:c r="E3" s="7" t="str">
        <x:v>机器人ETF 562500</x:v>
      </x:c>
    </x:row>
    <x:row r="4">
      <x:c r="A4" s="7" t="str">
        <x:v>chinext_ai</x:v>
      </x:c>
      <x:c r="B4" s="7" t="str">
        <x:v>159381</x:v>
      </x:c>
      <x:c r="C4" s="7" t="str">
        <x:v>创业板人工智能ETF</x:v>
      </x:c>
      <x:c r="D4" s="10" t="n">
        <x:v>22365</x:v>
      </x:c>
      <x:c r="E4" s="7" t="str">
        <x:v>创业板人工智能ETF 159381</x:v>
      </x:c>
    </x:row>
    <x:row r="5">
      <x:c r="A5" s="7" t="str">
        <x:v>innovative_medicine</x:v>
      </x:c>
      <x:c r="B5" s="7" t="str">
        <x:v>588700</x:v>
      </x:c>
      <x:c r="C5" s="7" t="str">
        <x:v>未持有</x:v>
      </x:c>
      <x:c r="D5" s="10" t="n">
        <x:v>0</x:v>
      </x:c>
      <x:c r="E5" s="7" t="str">
        <x:v>创新药ETF</x:v>
      </x:c>
    </x:row>
    <x:row r="6">
      <x:c r="A6" s="7" t="str">
        <x:v>quality_stock_basket</x:v>
      </x:c>
      <x:c r="B6" s="7" t="str">
        <x:v>688012</x:v>
      </x:c>
      <x:c r="C6" s="7" t="str">
        <x:v>未持有</x:v>
      </x:c>
      <x:c r="D6" s="10" t="n">
        <x:v>0</x:v>
      </x:c>
      <x:c r="E6" s="7" t="str">
        <x:v>AI/半导体高质量个股篮子</x:v>
      </x:c>
    </x:row>
    <x:row r="7">
      <x:c r="A7" s="7" t="str">
        <x:v>quality_stock_basket</x:v>
      </x:c>
      <x:c r="B7" s="7" t="str">
        <x:v>002371</x:v>
      </x:c>
      <x:c r="C7" s="7" t="str">
        <x:v>未持有</x:v>
      </x:c>
      <x:c r="D7" s="10" t="n">
        <x:v>0</x:v>
      </x:c>
      <x:c r="E7" s="7" t="str">
        <x:v>AI/半导体高质量个股篮子</x:v>
      </x:c>
    </x:row>
    <x:row r="8">
      <x:c r="A8" s="7" t="str">
        <x:v>quality_stock_basket</x:v>
      </x:c>
      <x:c r="B8" s="7" t="str">
        <x:v>688072</x:v>
      </x:c>
      <x:c r="C8" s="7" t="str">
        <x:v>未持有</x:v>
      </x:c>
      <x:c r="D8" s="10" t="n">
        <x:v>0</x:v>
      </x:c>
      <x:c r="E8" s="7" t="str">
        <x:v>AI/半导体高质量个股篮子</x:v>
      </x:c>
    </x:row>
    <x:row r="9">
      <x:c r="A9" s="7" t="str">
        <x:v>quality_stock_basket</x:v>
      </x:c>
      <x:c r="B9" s="7" t="str">
        <x:v>688120</x:v>
      </x:c>
      <x:c r="C9" s="7" t="str">
        <x:v>未持有</x:v>
      </x:c>
      <x:c r="D9" s="10" t="n">
        <x:v>0</x:v>
      </x:c>
      <x:c r="E9" s="7" t="str">
        <x:v>AI/半导体高质量个股篮子</x:v>
      </x:c>
    </x:row>
    <x:row r="10">
      <x:c r="A10" s="7" t="str">
        <x:v>quality_stock_basket</x:v>
      </x:c>
      <x:c r="B10" s="7" t="str">
        <x:v>300308</x:v>
      </x:c>
      <x:c r="C10" s="7" t="str">
        <x:v>未持有</x:v>
      </x:c>
      <x:c r="D10" s="10" t="n">
        <x:v>0</x:v>
      </x:c>
      <x:c r="E10" s="7" t="str">
        <x:v>AI/半导体高质量个股篮子</x:v>
      </x:c>
    </x:row>
    <x:row r="11">
      <x:c r="A11" s="7" t="str">
        <x:v>quality_stock_basket</x:v>
      </x:c>
      <x:c r="B11" s="7" t="str">
        <x:v>300502</x:v>
      </x:c>
      <x:c r="C11" s="7" t="str">
        <x:v>未持有</x:v>
      </x:c>
      <x:c r="D11" s="10" t="n">
        <x:v>0</x:v>
      </x:c>
      <x:c r="E11" s="7" t="str">
        <x:v>AI/半导体高质量个股篮子</x:v>
      </x:c>
    </x:row>
    <x:row r="12">
      <x:c r="A12" s="7" t="str">
        <x:v>quality_stock_basket</x:v>
      </x:c>
      <x:c r="B12" s="7" t="str">
        <x:v>300394</x:v>
      </x:c>
      <x:c r="C12" s="7" t="str">
        <x:v>未持有</x:v>
      </x:c>
      <x:c r="D12" s="10" t="n">
        <x:v>0</x:v>
      </x:c>
      <x:c r="E12" s="7" t="str">
        <x:v>AI/半导体高质量个股篮子</x:v>
      </x:c>
    </x:row>
    <x:row r="13">
      <x:c r="A13" s="7" t="str">
        <x:v>quality_stock_basket</x:v>
      </x:c>
      <x:c r="B13" s="7" t="str">
        <x:v>002463</x:v>
      </x:c>
      <x:c r="C13" s="7" t="str">
        <x:v>未持有</x:v>
      </x:c>
      <x:c r="D13" s="10" t="n">
        <x:v>0</x:v>
      </x:c>
      <x:c r="E13" s="7" t="str">
        <x:v>AI/半导体高质量个股篮子</x:v>
      </x:c>
    </x:row>
    <x:row r="14">
      <x:c r="A14" s="7" t="str">
        <x:v>quality_stock_basket</x:v>
      </x:c>
      <x:c r="B14" s="7" t="str">
        <x:v>688008</x:v>
      </x:c>
      <x:c r="C14" s="7" t="str">
        <x:v>未持有</x:v>
      </x:c>
      <x:c r="D14" s="10" t="n">
        <x:v>0</x:v>
      </x:c>
      <x:c r="E14" s="7" t="str">
        <x:v>AI/半导体高质量个股篮子</x:v>
      </x:c>
    </x:row>
    <x:row r="15">
      <x:c r="A15" s="7" t="str">
        <x:v>quality_stock_basket</x:v>
      </x:c>
      <x:c r="B15" s="7" t="str">
        <x:v>601138</x:v>
      </x:c>
      <x:c r="C15" s="7" t="str">
        <x:v>未持有</x:v>
      </x:c>
      <x:c r="D15" s="10" t="n">
        <x:v>0</x:v>
      </x:c>
      <x:c r="E15" s="7" t="str">
        <x:v>AI/半导体高质量个股篮子</x:v>
      </x:c>
    </x:row>
    <x:row r="16">
      <x:c r="A16" s="7" t="str">
        <x:v>a500_low_vol</x:v>
      </x:c>
      <x:c r="B16" s="7" t="str">
        <x:v>159338</x:v>
      </x:c>
      <x:c r="C16" s="7" t="str">
        <x:v>中证A500ETF</x:v>
      </x:c>
      <x:c r="D16" s="10" t="n">
        <x:v>74956.2</x:v>
      </x:c>
      <x:c r="E16" s="7" t="str">
        <x:v>中证A500ETF</x:v>
      </x:c>
    </x:row>
    <x:row r="17">
      <x:c r="A17" s="7" t="str">
        <x:v>a500_low_vol</x:v>
      </x:c>
      <x:c r="B17" s="7" t="str">
        <x:v>510210</x:v>
      </x:c>
      <x:c r="C17" s="7" t="str">
        <x:v>上证ETF</x:v>
      </x:c>
      <x:c r="D17" s="10" t="n">
        <x:v>36575</x:v>
      </x:c>
      <x:c r="E17" s="7" t="str">
        <x:v>中证A500ETF</x:v>
      </x:c>
    </x:row>
    <x:row r="18">
      <x:c r="A18" s="7" t="str">
        <x:v>dividend_low_vol</x:v>
      </x:c>
      <x:c r="B18" s="7" t="str">
        <x:v>512890</x:v>
      </x:c>
      <x:c r="C18" s="7" t="str">
        <x:v>红利低波ETF</x:v>
      </x:c>
      <x:c r="D18" s="10" t="n">
        <x:v>42332</x:v>
      </x:c>
      <x:c r="E18" s="7" t="str">
        <x:v>红利低波ETF</x:v>
      </x:c>
    </x:row>
    <x:row r="19">
      <x:c r="A19" s="7" t="str">
        <x:v>dividend_cashflow_stocks</x:v>
      </x:c>
      <x:c r="B19" s="7" t="str">
        <x:v>600900</x:v>
      </x:c>
      <x:c r="C19" s="7" t="str">
        <x:v>未持有</x:v>
      </x:c>
      <x:c r="D19" s="10" t="n">
        <x:v>0</x:v>
      </x:c>
      <x:c r="E19" s="7" t="str">
        <x:v>长期稳定分红个股篮子</x:v>
      </x:c>
    </x:row>
    <x:row r="20">
      <x:c r="A20" s="7" t="str">
        <x:v>dividend_cashflow_stocks</x:v>
      </x:c>
      <x:c r="B20" s="7" t="str">
        <x:v>600941</x:v>
      </x:c>
      <x:c r="C20" s="7" t="str">
        <x:v>未持有</x:v>
      </x:c>
      <x:c r="D20" s="10" t="n">
        <x:v>0</x:v>
      </x:c>
      <x:c r="E20" s="7" t="str">
        <x:v>长期稳定分红个股篮子</x:v>
      </x:c>
    </x:row>
    <x:row r="21">
      <x:c r="A21" s="7" t="str">
        <x:v>dividend_cashflow_stocks</x:v>
      </x:c>
      <x:c r="B21" s="7" t="str">
        <x:v>601398</x:v>
      </x:c>
      <x:c r="C21" s="7" t="str">
        <x:v>未持有</x:v>
      </x:c>
      <x:c r="D21" s="10" t="n">
        <x:v>0</x:v>
      </x:c>
      <x:c r="E21" s="7" t="str">
        <x:v>长期稳定分红个股篮子</x:v>
      </x:c>
    </x:row>
    <x:row r="22">
      <x:c r="A22" s="7" t="str">
        <x:v>dividend_cashflow_stocks</x:v>
      </x:c>
      <x:c r="B22" s="7" t="str">
        <x:v>601939</x:v>
      </x:c>
      <x:c r="C22" s="7" t="str">
        <x:v>未持有</x:v>
      </x:c>
      <x:c r="D22" s="10" t="n">
        <x:v>0</x:v>
      </x:c>
      <x:c r="E22" s="7" t="str">
        <x:v>长期稳定分红个股篮子</x:v>
      </x:c>
    </x:row>
    <x:row r="23">
      <x:c r="A23" s="7" t="str">
        <x:v>dividend_cashflow_stocks</x:v>
      </x:c>
      <x:c r="B23" s="7" t="str">
        <x:v>601088</x:v>
      </x:c>
      <x:c r="C23" s="7" t="str">
        <x:v>未持有</x:v>
      </x:c>
      <x:c r="D23" s="10" t="n">
        <x:v>0</x:v>
      </x:c>
      <x:c r="E23" s="7" t="str">
        <x:v>长期稳定分红个股篮子</x:v>
      </x:c>
    </x:row>
    <x:row r="24">
      <x:c r="A24" s="7" t="str">
        <x:v>dividend_cashflow_stocks</x:v>
      </x:c>
      <x:c r="B24" s="7" t="str">
        <x:v>000333</x:v>
      </x:c>
      <x:c r="C24" s="7" t="str">
        <x:v>未持有</x:v>
      </x:c>
      <x:c r="D24" s="10" t="n">
        <x:v>0</x:v>
      </x:c>
      <x:c r="E24" s="7" t="str">
        <x:v>长期稳定分红个股篮子</x:v>
      </x:c>
    </x:row>
    <x:row r="25">
      <x:c r="A25" s="7" t="str">
        <x:v>convertible_bond</x:v>
      </x:c>
      <x:c r="B25" s="7" t="str">
        <x:v>511180</x:v>
      </x:c>
      <x:c r="C25" s="7" t="str">
        <x:v>可转债ETF</x:v>
      </x:c>
      <x:c r="D25" s="10" t="n">
        <x:v>38433</x:v>
      </x:c>
      <x:c r="E25" s="7" t="str">
        <x:v>可转债ETF</x:v>
      </x:c>
    </x:row>
    <x:row r="26">
      <x:c r="A26" s="7" t="str">
        <x:v>pure_defense</x:v>
      </x:c>
      <x:c r="B26" s="7" t="str">
        <x:v>CASH</x:v>
      </x:c>
      <x:c r="C26" s="7" t="str">
        <x:v>证券可用现金</x:v>
      </x:c>
      <x:c r="D26" s="10" t="n">
        <x:v>313442.37</x:v>
      </x:c>
      <x:c r="E26" s="7" t="str">
        <x:v>现金/货基/国债ETF/逆回购</x:v>
      </x:c>
    </x:row>
    <x:row r="27">
      <x:c r="A27" s="7" t="str">
        <x:v>pure_defense</x:v>
      </x:c>
      <x:c r="B27" s="7" t="str">
        <x:v>511010</x:v>
      </x:c>
      <x:c r="C27" s="7" t="str">
        <x:v>国债ETF</x:v>
      </x:c>
      <x:c r="D27" s="10" t="n">
        <x:v>56585.2</x:v>
      </x:c>
      <x:c r="E27" s="7" t="str">
        <x:v>现金/货基/国债ETF/逆回购</x:v>
      </x:c>
    </x:row>
    <x:row r="28">
      <x:c r="A28" s="7" t="str">
        <x:v>cloud_transition</x:v>
      </x:c>
      <x:c r="B28" s="7" t="str">
        <x:v>516630</x:v>
      </x:c>
      <x:c r="C28" s="7" t="str">
        <x:v>云计算ETF</x:v>
      </x:c>
      <x:c r="D28" s="10" t="n">
        <x:v>64787</x:v>
      </x:c>
      <x:c r="E28" s="7" t="str">
        <x:v>云计算ETF</x:v>
      </x:c>
    </x:row>
    <x:row r="29">
      <x:c r="A29" s="7" t="str">
        <x:v>new_energy_legacy</x:v>
      </x:c>
      <x:c r="B29" s="7" t="str">
        <x:v>002594</x:v>
      </x:c>
      <x:c r="C29" s="7" t="str">
        <x:v>比亚迪</x:v>
      </x:c>
      <x:c r="D29" s="10" t="n">
        <x:v>96349</x:v>
      </x:c>
      <x:c r="E29" s="7" t="str">
        <x:v>比亚迪+绿电</x:v>
      </x:c>
    </x:row>
    <x:row r="30">
      <x:c r="A30" s="7" t="str">
        <x:v>new_energy_legacy</x:v>
      </x:c>
      <x:c r="B30" s="7" t="str">
        <x:v>562550</x:v>
      </x:c>
      <x:c r="C30" s="7" t="str">
        <x:v>绿电ETF</x:v>
      </x:c>
      <x:c r="D30" s="10" t="n">
        <x:v>47560</x:v>
      </x:c>
      <x:c r="E30" s="7" t="str">
        <x:v>比亚迪+绿电</x:v>
      </x:c>
    </x:row>
  </x:sheetData>
  <x:pageMargins left="0.7" right="0.7" top="0.75" bottom="0.75" header="0.3" footer="0.3"/>
  <x:tableParts count="1">
    <x:tablePart xmlns:r="http://schemas.openxmlformats.org/officeDocument/2006/relationships" r:id="R5e1ec81c2e35465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36" hidden="0" customWidth="1"/>
    <x:col min="4" max="4" width="44" hidden="0" customWidth="1"/>
  </x:cols>
  <x:sheetData>
    <x:row r="1">
      <x:c r="A1" s="6" t="str">
        <x:v>规则模块</x:v>
      </x:c>
      <x:c r="B1" s="6" t="str">
        <x:v>规则</x:v>
      </x:c>
      <x:c r="C1" s="6" t="str">
        <x:v>定义</x:v>
      </x:c>
      <x:c r="D1" s="6" t="str">
        <x:v>执行含义</x:v>
      </x:c>
    </x:row>
    <x:row r="2">
      <x:c r="A2" s="29" t="str">
        <x:v>双口径</x:v>
      </x:c>
      <x:c r="B2" s="29" t="str">
        <x:v>第一年配置</x:v>
      </x:c>
      <x:c r="C2" s="29" t="str">
        <x:v>全资产目标占比与金额</x:v>
      </x:c>
      <x:c r="D2" s="29" t="str">
        <x:v>决定长期规划上限</x:v>
      </x:c>
    </x:row>
    <x:row r="3">
      <x:c r="A3" s="29" t="str">
        <x:v>双口径</x:v>
      </x:c>
      <x:c r="B3" s="29" t="str">
        <x:v>证券账户目标</x:v>
      </x:c>
      <x:c r="C3" s="29" t="str">
        <x:v>单只持仓集中度目标</x:v>
      </x:c>
      <x:c r="D3" s="29" t="str">
        <x:v>达到/超过时仍可一票否决新增</x:v>
      </x:c>
    </x:row>
    <x:row r="4">
      <x:c r="A4" s="29" t="str">
        <x:v>年度配置</x:v>
      </x:c>
      <x:c r="B4" s="29" t="str">
        <x:v>资金缺口</x:v>
      </x:c>
      <x:c r="C4" s="29" t="str">
        <x:v>动态目标金额减当前映射金额</x:v>
      </x:c>
      <x:c r="D4" s="29" t="str">
        <x:v>不是买入信号</x:v>
      </x:c>
    </x:row>
    <x:row r="5">
      <x:c r="A5" s="29" t="str">
        <x:v>质量准入</x:v>
      </x:c>
      <x:c r="B5" s="29" t="str">
        <x:v>完整评分</x:v>
      </x:c>
      <x:c r="C5" s="29" t="str">
        <x:v>ETF/个股需完整10分评分与证据</x:v>
      </x:c>
      <x:c r="D5" s="29" t="str">
        <x:v>缺失时禁止新增</x:v>
      </x:c>
    </x:row>
    <x:row r="6">
      <x:c r="A6" s="29" t="str">
        <x:v>买点过滤</x:v>
      </x:c>
      <x:c r="B6" s="29" t="str">
        <x:v>标准首批</x:v>
      </x:c>
      <x:c r="C6" s="29" t="str">
        <x:v>六项通过至少5项且无否决</x:v>
      </x:c>
      <x:c r="D6" s="29" t="str">
        <x:v>仅进入复核</x:v>
      </x:c>
    </x:row>
    <x:row r="7">
      <x:c r="A7" s="29" t="str">
        <x:v>量化验证</x:v>
      </x:c>
      <x:c r="B7" s="29" t="str">
        <x:v>正期望</x:v>
      </x:c>
      <x:c r="C7" s="29" t="str">
        <x:v>胜率×平均盈利-失败率×平均亏损需为正</x:v>
      </x:c>
      <x:c r="D7" s="29" t="str">
        <x:v>资金流入不能单独触发买入</x:v>
      </x:c>
    </x:row>
    <x:row r="8">
      <x:c r="A8" s="29" t="str">
        <x:v>量化验证</x:v>
      </x:c>
      <x:c r="B8" s="29" t="str">
        <x:v>资产角色</x:v>
      </x:c>
      <x:c r="C8" s="29" t="str">
        <x:v>核心成长/低波权益/弹性低波/纯防御/遗留仓/卫星个股</x:v>
      </x:c>
      <x:c r="D8" s="29" t="str">
        <x:v>不同资产不能套用同一买点规则</x:v>
      </x:c>
    </x:row>
    <x:row r="9">
      <x:c r="A9" s="29" t="str">
        <x:v>红利现金流</x:v>
      </x:c>
      <x:c r="B9" s="29" t="str">
        <x:v>配置定位</x:v>
      </x:c>
      <x:c r="C9" s="29" t="str">
        <x:v>红利个股是低波现金流层，不是核心成长收益发动机</x:v>
      </x:c>
      <x:c r="D9" s="29" t="str">
        <x:v>负责波动缓冲、现金流和风格平衡</x:v>
      </x:c>
    </x:row>
    <x:row r="10">
      <x:c r="A10" s="29" t="str">
        <x:v>红利现金流</x:v>
      </x:c>
      <x:c r="B10" s="29" t="str">
        <x:v>买入绿灯</x:v>
      </x:c>
      <x:c r="C10" s="29" t="str">
        <x:v>分红连续性、现金流覆盖、分红率健康、股息率安全垫、估值中低位、缩量回踩</x:v>
      </x:c>
      <x:c r="D10" s="29" t="str">
        <x:v>满足后小仓慢建，不追高</x:v>
      </x:c>
    </x:row>
    <x:row r="11">
      <x:c r="A11" s="29" t="str">
        <x:v>红利现金流</x:v>
      </x:c>
      <x:c r="B11" s="29" t="str">
        <x:v>高息陷阱否决</x:v>
      </x:c>
      <x:c r="C11" s="29" t="str">
        <x:v>分红率&gt;100%、高息来自股价暴跌、盈利/现金流恶化、举债分红、资本开支压力</x:v>
      </x:c>
      <x:c r="D11" s="29" t="str">
        <x:v>任一触发均不得新增</x:v>
      </x:c>
    </x:row>
    <x:row r="12">
      <x:c r="A12" s="29" t="str">
        <x:v>红利现金流</x:v>
      </x:c>
      <x:c r="B12" s="29" t="str">
        <x:v>仓位节奏</x:v>
      </x:c>
      <x:c r="C12" s="29" t="str">
        <x:v>红利个股+红利低波初始3%–5%，第一阶段6%–8%，稳定后10%–15%</x:v>
      </x:c>
      <x:c r="D12" s="29" t="str">
        <x:v>单只A档0.5%–1%，B档0.3%–0.8%</x:v>
      </x:c>
    </x:row>
    <x:row r="13">
      <x:c r="A13" s="29" t="str">
        <x:v>爆量/量质吸</x:v>
      </x:c>
      <x:c r="B13" s="29" t="str">
        <x:v>核心路径</x:v>
      </x:c>
      <x:c r="C13" s="29" t="str">
        <x:v>爆量突破→缩量回踩→不破关键支撑→再次放量转强</x:v>
      </x:c>
      <x:c r="D13" s="29" t="str">
        <x:v>爆量只看方向，回踩确认才是核心买点</x:v>
      </x:c>
    </x:row>
    <x:row r="14">
      <x:c r="A14" s="29" t="str">
        <x:v>爆量突破</x:v>
      </x:c>
      <x:c r="B14" s="29" t="str">
        <x:v>小仓试探</x:v>
      </x:c>
      <x:c r="C14" s="29" t="str">
        <x:v>ETF单次全资产0.5%–1%；个股0.3%–0.5%</x:v>
      </x:c>
      <x:c r="D14" s="29" t="str">
        <x:v>不允许一次性补满目标仓位</x:v>
      </x:c>
    </x:row>
    <x:row r="15">
      <x:c r="A15" s="29" t="str">
        <x:v>回踩确认</x:v>
      </x:c>
      <x:c r="B15" s="29" t="str">
        <x:v>最佳买点</x:v>
      </x:c>
      <x:c r="C15" s="29" t="str">
        <x:v>不破爆量K低点/5日/10日；龙头不破；份额未连续赎回；次日转强</x:v>
      </x:c>
      <x:c r="D15" s="29" t="str">
        <x:v>核心ETF≤1%；强确认1%–2%；个股≤0.5%</x:v>
      </x:c>
    </x:row>
    <x:row r="16">
      <x:c r="A16" s="29" t="str">
        <x:v>爆量失败</x:v>
      </x:c>
      <x:c r="B16" s="29" t="str">
        <x:v>暂停/复审</x:v>
      </x:c>
      <x:c r="C16" s="29" t="str">
        <x:v>低开低走、跌破爆量K低点、放量滞涨/下跌、龙头分化、ETF连续赎回</x:v>
      </x:c>
      <x:c r="D16" s="29" t="str">
        <x:v>1项暂停新增，2项战术仓复审，3项以上核心仓降温</x:v>
      </x:c>
    </x:row>
    <x:row r="17">
      <x:c r="A17" s="29" t="str">
        <x:v>认知防错</x:v>
      </x:c>
      <x:c r="B17" s="29" t="str">
        <x:v>八问</x:v>
      </x:c>
      <x:c r="C17" s="29" t="str">
        <x:v>机会成本/确认偏误/易得性偏差/沉没成本/最大亏损/全资产更优选择/能力圈/10个月后认可度</x:v>
      </x:c>
      <x:c r="D17" s="29" t="str">
        <x:v>两项以上回答不清则不买</x:v>
      </x:c>
    </x:row>
    <x:row r="18">
      <x:c r="A18" s="29" t="str">
        <x:v>机会成本</x:v>
      </x:c>
      <x:c r="B18" s="29" t="str">
        <x:v>新增资金优先级</x:v>
      </x:c>
      <x:c r="C18" s="29" t="str">
        <x:v>159516&gt;159381&gt;A500/可转债&gt;机器人&gt;云计算/非核心仓</x:v>
      </x:c>
      <x:c r="D18" s="29" t="str">
        <x:v>默认排序仍需结合买点、赔率和全资产口径</x:v>
      </x:c>
    </x:row>
    <x:row r="19">
      <x:c r="A19" s="29" t="str">
        <x:v>沉没成本</x:v>
      </x:c>
      <x:c r="B19" s="29" t="str">
        <x:v>亏损不构成买入理由</x:v>
      </x:c>
      <x:c r="C19" s="29" t="str">
        <x:v>中望/比亚迪/绿电/云计算等非核心或遗留仓禁止摊低补仓</x:v>
      </x:c>
      <x:c r="D19" s="29" t="str">
        <x:v>只有主线、质量、买点和赔率重新通过才可升级</x:v>
      </x:c>
    </x:row>
    <x:row r="20">
      <x:c r="A20" s="29" t="str">
        <x:v>反脆弱</x:v>
      </x:c>
      <x:c r="B20" s="29" t="str">
        <x:v>组合结构</x:v>
      </x:c>
      <x:c r="C20" s="29" t="str">
        <x:v>核心成长收益+低波权益稳定+可转债弹性缓冲+现金/国债回踩弹药</x:v>
      </x:c>
      <x:c r="D20" s="29" t="str">
        <x:v>不是满仓科技，而是在波动中保留买点弹药</x:v>
      </x:c>
    </x:row>
    <x:row r="21">
      <x:c r="A21" s="29" t="str">
        <x:v>情绪纪律</x:v>
      </x:c>
      <x:c r="B21" s="29" t="str">
        <x:v>4级及以上</x:v>
      </x:c>
      <x:c r="C21" s="29" t="str">
        <x:v>火热/狂热</x:v>
      </x:c>
      <x:c r="D21" s="29" t="str">
        <x:v>暂停新增</x:v>
      </x:c>
    </x:row>
    <x:row r="22">
      <x:c r="A22" s="29" t="str">
        <x:v>执行纪律</x:v>
      </x:c>
      <x:c r="B22" s="29" t="str">
        <x:v>单日上限</x:v>
      </x:c>
      <x:c r="C22" s="29" t="str">
        <x:v>一个买入方向+两个卖出/减仓方向</x:v>
      </x:c>
      <x:c r="D22" s="29" t="str">
        <x:v>系统性风险日只做风控</x:v>
      </x:c>
    </x:row>
  </x:sheetData>
  <x:pageMargins left="0.7" right="0.7" top="0.75" bottom="0.75" header="0.3" footer="0.3"/>
  <x:tableParts count="1">
    <x:tablePart xmlns:r="http://schemas.openxmlformats.org/officeDocument/2006/relationships" r:id="R2c4eb75196ad426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2" hidden="0" customWidth="1"/>
    <x:col min="4" max="4" width="16" hidden="0" customWidth="1"/>
    <x:col min="5" max="5" width="28" hidden="0" customWidth="1"/>
    <x:col min="6" max="6" width="48" hidden="0" customWidth="1"/>
    <x:col min="8" max="8" width="30" hidden="0" customWidth="1"/>
    <x:col min="9" max="9" width="16" hidden="0" customWidth="1"/>
    <x:col min="10" max="10" width="16" hidden="0" customWidth="1"/>
  </x:cols>
  <x:sheetData>
    <x:row r="1">
      <x:c r="A1" s="6" t="str">
        <x:v>数据项</x:v>
      </x:c>
      <x:c r="B1" s="6" t="str">
        <x:v>值/范围</x:v>
      </x:c>
      <x:c r="C1" s="6" t="str">
        <x:v>单位</x:v>
      </x:c>
      <x:c r="D1" s="6" t="str">
        <x:v>截至日期</x:v>
      </x:c>
      <x:c r="E1" s="6" t="str">
        <x:v>来源</x:v>
      </x:c>
      <x:c r="F1" s="6" t="str">
        <x:v>备注</x:v>
      </x:c>
      <x:c r="H1" s="6" t="str">
        <x:v>配置项</x:v>
      </x:c>
      <x:c r="I1" s="6" t="str">
        <x:v>当前金额</x:v>
      </x:c>
      <x:c r="J1" s="6" t="str">
        <x:v>动态目标</x:v>
      </x:c>
    </x:row>
    <x:row r="2">
      <x:c r="A2" s="29" t="str">
        <x:v>当前全资产总额</x:v>
      </x:c>
      <x:c r="B2" s="29" t="n">
        <x:v>4783000</x:v>
      </x:c>
      <x:c r="C2" s="29" t="str">
        <x:v>元</x:v>
      </x:c>
      <x:c r="D2" s="29" t="str">
        <x:v>持仓截图日期</x:v>
      </x:c>
      <x:c r="E2" s="29" t="str">
        <x:v>positions.csv</x:v>
      </x:c>
      <x:c r="F2" s="29" t="str">
        <x:v>用于动态重算年度目标金额</x:v>
      </x:c>
      <x:c r="H2" t="str">
        <x:v>半导体设备ETF 159516</x:v>
      </x:c>
      <x:c r="I2" s="30" t="n">
        <x:f>Allocation!H2</x:f>
        <x:v>62880</x:v>
      </x:c>
      <x:c r="J2" s="30" t="n">
        <x:f>Allocation!G2</x:f>
        <x:v>478300</x:v>
      </x:c>
    </x:row>
    <x:row r="3">
      <x:c r="A3" s="29" t="str">
        <x:v>证券账户总市值</x:v>
      </x:c>
      <x:c r="B3" s="29" t="n">
        <x:v>733750.78</x:v>
      </x:c>
      <x:c r="C3" s="29" t="str">
        <x:v>元</x:v>
      </x:c>
      <x:c r="D3" s="29" t="str">
        <x:v>持仓截图日期</x:v>
      </x:c>
      <x:c r="E3" s="29" t="str">
        <x:v>positions.csv</x:v>
      </x:c>
      <x:c r="F3" s="29" t="str">
        <x:v>用于持仓勾稽</x:v>
      </x:c>
      <x:c r="H3" t="str">
        <x:v>机器人ETF 562500</x:v>
      </x:c>
      <x:c r="I3" s="30" t="n">
        <x:f>Allocation!H3</x:f>
        <x:v>137787.6</x:v>
      </x:c>
      <x:c r="J3" s="30" t="n">
        <x:f>Allocation!G3</x:f>
        <x:v>382640</x:v>
      </x:c>
    </x:row>
    <x:row r="4">
      <x:c r="A4" s="29" t="str">
        <x:v>第一年配置比例</x:v>
      </x:c>
      <x:c r="B4" s="29" t="str">
        <x:v>100%</x:v>
      </x:c>
      <x:c r="C4" s="29" t="str">
        <x:v>%</x:v>
      </x:c>
      <x:c r="D4" s="29" t="str">
        <x:v>V2.8.5-QM红利现金流增强版</x:v>
      </x:c>
      <x:c r="E4" s="29" t="str">
        <x:v>first_year_allocation.csv</x:v>
      </x:c>
      <x:c r="F4" s="29" t="str">
        <x:v>显式包含纯防御层和红利现金流层；年度缺口不是买入信号</x:v>
      </x:c>
      <x:c r="H4" t="str">
        <x:v>创业板人工智能ETF 159381</x:v>
      </x:c>
      <x:c r="I4" s="30" t="n">
        <x:f>Allocation!H4</x:f>
        <x:v>22365</x:v>
      </x:c>
      <x:c r="J4" s="30" t="n">
        <x:f>Allocation!G4</x:f>
        <x:v>334810.00000000006</x:v>
      </x:c>
    </x:row>
    <x:row r="5">
      <x:c r="A5" s="29" t="str">
        <x:v>目标收益区间</x:v>
      </x:c>
      <x:c r="B5" s="29" t="str">
        <x:v>5%-35%</x:v>
      </x:c>
      <x:c r="C5" s="29" t="str">
        <x:v>%</x:v>
      </x:c>
      <x:c r="D5" s="29" t="str">
        <x:v>来源未标注</x:v>
      </x:c>
      <x:c r="E5" s="29" t="str">
        <x:v>1st年配置表.xlsx</x:v>
      </x:c>
      <x:c r="F5" s="29" t="str">
        <x:v>观察区间，不是收益承诺</x:v>
      </x:c>
      <x:c r="H5" t="str">
        <x:v>创新药ETF</x:v>
      </x:c>
      <x:c r="I5" s="30" t="n">
        <x:f>Allocation!H5</x:f>
        <x:v>0</x:v>
      </x:c>
      <x:c r="J5" s="30" t="n">
        <x:f>Allocation!G5</x:f>
        <x:v>143490</x:v>
      </x:c>
    </x:row>
    <x:row r="6">
      <x:c r="A6" s="29" t="str">
        <x:v>映射与约束</x:v>
      </x:c>
      <x:c r="B6" s="29" t="str">
        <x:v>13项配置</x:v>
      </x:c>
      <x:c r="C6" s="29" t="str">
        <x:v>项</x:v>
      </x:c>
      <x:c r="D6" s="29" t="str">
        <x:v>本次优化</x:v>
      </x:c>
      <x:c r="E6" s="29" t="str">
        <x:v>first_year_allocation.csv</x:v>
      </x:c>
      <x:c r="F6" s="29" t="str">
        <x:v>维护代码映射与执行约束</x:v>
      </x:c>
      <x:c r="H6" t="str">
        <x:v>AI/半导体高质量个股篮子</x:v>
      </x:c>
      <x:c r="I6" s="30" t="n">
        <x:f>Allocation!H6</x:f>
        <x:v>0</x:v>
      </x:c>
      <x:c r="J6" s="30" t="n">
        <x:f>Allocation!G6</x:f>
        <x:v>143490</x:v>
      </x:c>
    </x:row>
    <x:row r="7">
      <x:c r="H7" t="str">
        <x:v>中证A500ETF</x:v>
      </x:c>
      <x:c r="I7" s="30" t="n">
        <x:f>Allocation!H7</x:f>
        <x:v>111531.2</x:v>
      </x:c>
      <x:c r="J7" s="30" t="n">
        <x:f>Allocation!G7</x:f>
        <x:v>478300</x:v>
      </x:c>
    </x:row>
    <x:row r="8">
      <x:c r="H8" t="str">
        <x:v>红利低波ETF</x:v>
      </x:c>
      <x:c r="I8" s="30" t="n">
        <x:f>Allocation!H8</x:f>
        <x:v>42332</x:v>
      </x:c>
      <x:c r="J8" s="30" t="n">
        <x:f>Allocation!G8</x:f>
        <x:v>239150</x:v>
      </x:c>
    </x:row>
    <x:row r="9">
      <x:c r="H9" t="str">
        <x:v>长期稳定分红个股篮子</x:v>
      </x:c>
      <x:c r="I9" s="30" t="n">
        <x:f>Allocation!H9</x:f>
        <x:v>0</x:v>
      </x:c>
      <x:c r="J9" s="30" t="n">
        <x:f>Allocation!G9</x:f>
        <x:v>239150</x:v>
      </x:c>
    </x:row>
    <x:row r="10">
      <x:c r="H10" t="str">
        <x:v>可转债ETF</x:v>
      </x:c>
      <x:c r="I10" s="30" t="n">
        <x:f>Allocation!H10</x:f>
        <x:v>38433</x:v>
      </x:c>
      <x:c r="J10" s="30" t="n">
        <x:f>Allocation!G10</x:f>
        <x:v>478300</x:v>
      </x:c>
    </x:row>
    <x:row r="11">
      <x:c r="H11" t="str">
        <x:v>现金/货基/国债ETF/逆回购</x:v>
      </x:c>
      <x:c r="I11" s="30" t="n">
        <x:f>Allocation!H11</x:f>
        <x:v>370027.57</x:v>
      </x:c>
      <x:c r="J11" s="30" t="n">
        <x:f>Allocation!G11</x:f>
        <x:v>1721880</x:v>
      </x:c>
    </x:row>
    <x:row r="12">
      <x:c r="H12" t="str">
        <x:v>战术机会仓</x:v>
      </x:c>
      <x:c r="I12" s="30" t="n">
        <x:f>Allocation!H12</x:f>
        <x:v>0</x:v>
      </x:c>
      <x:c r="J12" s="30" t="n">
        <x:f>Allocation!G12</x:f>
        <x:v>143490</x:v>
      </x:c>
    </x:row>
    <x:row r="13">
      <x:c r="H13" t="str">
        <x:v>云计算ETF</x:v>
      </x:c>
      <x:c r="I13" s="30" t="n">
        <x:f>Allocation!H13</x:f>
        <x:v>64787</x:v>
      </x:c>
      <x:c r="J13" s="30" t="n">
        <x:f>Allocation!G13</x:f>
        <x:v>0</x:v>
      </x:c>
    </x:row>
    <x:row r="14">
      <x:c r="H14" t="str">
        <x:v>比亚迪+绿电</x:v>
      </x:c>
      <x:c r="I14" s="30" t="n">
        <x:f>Allocation!H14</x:f>
        <x:v>143909</x:v>
      </x:c>
      <x:c r="J14" s="30" t="n">
        <x:f>Allocation!G14</x:f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3b8d2234d842436b"/>
  </x:tableParts>
</x:worksheet>
</file>