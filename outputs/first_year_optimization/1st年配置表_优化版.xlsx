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07653e83e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ce2606bb544e8f"/>
    <x:sheet xmlns:r="http://schemas.openxmlformats.org/officeDocument/2006/relationships" name="Allocation" sheetId="2" r:id="R4f9c6e85b47c45c7"/>
    <x:sheet xmlns:r="http://schemas.openxmlformats.org/officeDocument/2006/relationships" name="Mapping" sheetId="3" r:id="R753af279160a4a89"/>
    <x:sheet xmlns:r="http://schemas.openxmlformats.org/officeDocument/2006/relationships" name="Rules" sheetId="4" r:id="Rf808df8ef8e64027"/>
    <x:sheet xmlns:r="http://schemas.openxmlformats.org/officeDocument/2006/relationships" name="Sources_Audit" sheetId="5" r:id="R74813281ed49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"/>
    <x:numFmt numFmtId="202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3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998ff4e954b64" /><Relationship Type="http://schemas.openxmlformats.org/officeDocument/2006/relationships/theme" Target="/xl/theme/theme1.xml" Id="R3469b6ac255f426e" /><Relationship Type="http://schemas.openxmlformats.org/officeDocument/2006/relationships/sharedStrings" Target="/xl/sharedStrings.xml" Id="Re3b07e410f65451f" /><Relationship Type="http://schemas.openxmlformats.org/officeDocument/2006/relationships/worksheet" Target="/xl/worksheets/sheet1.xml" Id="Rd5ce2606bb544e8f" /><Relationship Type="http://schemas.openxmlformats.org/officeDocument/2006/relationships/worksheet" Target="/xl/worksheets/sheet2.xml" Id="R4f9c6e85b47c45c7" /><Relationship Type="http://schemas.openxmlformats.org/officeDocument/2006/relationships/worksheet" Target="/xl/worksheets/sheet3.xml" Id="R753af279160a4a89" /><Relationship Type="http://schemas.openxmlformats.org/officeDocument/2006/relationships/worksheet" Target="/xl/worksheets/sheet4.xml" Id="Rf808df8ef8e64027" /><Relationship Type="http://schemas.openxmlformats.org/officeDocument/2006/relationships/worksheet" Target="/xl/worksheets/sheet5.xml" Id="R74813281ed494d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1960e261064e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第一年配置：当前金额与动态目标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当前金额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'Sources_Audit'!$H$2:$H$12</c:f>
              <c:strCache>
                <c:ptCount val="0"/>
              </c:strCache>
            </c:strRef>
          </c:cat>
          <c:val>
            <c:numRef>
              <c:f>'Sources_Audit'!$I$2:$I$12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动态目标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'Sources_Audit'!$H$2:$H$12</c:f>
              <c:strCache>
                <c:ptCount val="0"/>
              </c:strCache>
            </c:strRef>
          </c:cat>
          <c:val>
            <c:numRef>
              <c:f>'Sources_Audit'!$J$2:$J$12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7239000" cy="4095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1960e261064e8f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FirstYearAllocationTable" displayName="FirstYearAllocationTable" ref="A1:Q12" headerRowCount="1">
  <x:tableColumns count="17">
    <x:tableColumn id="1" name="配置键"/>
    <x:tableColumn id="2" name="配置项"/>
    <x:tableColumn id="3" name="资产层级"/>
    <x:tableColumn id="4" name="年度目标占比"/>
    <x:tableColumn id="5" name="映射代码"/>
    <x:tableColumn id="6" name="配置表目标金额"/>
    <x:tableColumn id="7" name="动态目标金额"/>
    <x:tableColumn id="8" name="当前金额"/>
    <x:tableColumn id="9" name="配置表当前金额约"/>
    <x:tableColumn id="10" name="年度资金缺口"/>
    <x:tableColumn id="11" name="年度完成率"/>
    <x:tableColumn id="12" name="目标收益下限"/>
    <x:tableColumn id="13" name="目标收益上限"/>
    <x:tableColumn id="14" name="配置状态"/>
    <x:tableColumn id="15" name="进度状态"/>
    <x:tableColumn id="16" name="执行约束"/>
    <x:tableColumn id="17" name="来源"/>
  </x:tableColumns>
  <x:tableStyleInfo name="TableStyleMedium2" showRowStripes="1"/>
</x:table>
</file>

<file path=xl/tables/table2.xml><?xml version="1.0" encoding="utf-8"?>
<x:table xmlns:x="http://schemas.openxmlformats.org/spreadsheetml/2006/main" id="2" name="AllocationMappingTable" displayName="AllocationMappingTable" ref="A1:E13" headerRowCount="1">
  <x:tableColumns count="5">
    <x:tableColumn id="1" name="配置键"/>
    <x:tableColumn id="2" name="代码"/>
    <x:tableColumn id="3" name="名称"/>
    <x:tableColumn id="4" name="当前市值"/>
    <x:tableColumn id="5" name="配置项"/>
  </x:tableColumns>
  <x:tableStyleInfo name="TableStyleMedium2" showRowStripes="1"/>
</x:table>
</file>

<file path=xl/tables/table3.xml><?xml version="1.0" encoding="utf-8"?>
<x:table xmlns:x="http://schemas.openxmlformats.org/spreadsheetml/2006/main" id="3" name="AllocationRulesTable" displayName="AllocationRulesTable" ref="A1:D8" headerRowCount="1">
  <x:tableColumns count="4">
    <x:tableColumn id="1" name="规则模块"/>
    <x:tableColumn id="2" name="规则"/>
    <x:tableColumn id="3" name="定义"/>
    <x:tableColumn id="4" name="执行含义"/>
  </x:tableColumns>
  <x:tableStyleInfo name="TableStyleMedium2" showRowStripes="1"/>
</x:table>
</file>

<file path=xl/tables/table4.xml><?xml version="1.0" encoding="utf-8"?>
<x:table xmlns:x="http://schemas.openxmlformats.org/spreadsheetml/2006/main" id="4" name="AllocationSourcesTable" displayName="AllocationSourcesTable" ref="A1:F6" headerRowCount="1">
  <x:tableColumns count="6">
    <x:tableColumn id="1" name="数据项"/>
    <x:tableColumn id="2" name="值/范围"/>
    <x:tableColumn id="3" name="单位"/>
    <x:tableColumn id="4" name="截至日期"/>
    <x:tableColumn id="5" name="来源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79a217089448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65699050f945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82fa79b017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59163479fe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ca396181054a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" t="str">
        <x:v>第一年度全资产配置总览</x:v>
      </x:c>
      <x:c r="B1" s="2"/>
      <x:c r="C1" s="2"/>
      <x:c r="D1" s="2"/>
      <x:c r="E1" s="2"/>
      <x:c r="F1" s="2"/>
      <x:c r="G1" s="2"/>
      <x:c r="H1" s="2"/>
    </x:row>
    <x:row r="3">
      <x:c r="A3" s="31" t="str">
        <x:v>指标</x:v>
      </x:c>
      <x:c r="B3" s="6" t="str">
        <x:v>数值</x:v>
      </x:c>
    </x:row>
    <x:row r="4" ht="22" customHeight="1">
      <x:c r="A4" s="32" t="str">
        <x:v>当前全资产基准（元）</x:v>
      </x:c>
      <x:c r="B4" s="10" t="n">
        <x:v>4783000</x:v>
      </x:c>
    </x:row>
    <x:row r="5" ht="22" customHeight="1">
      <x:c r="A5" s="32" t="str">
        <x:v>第一年目标配置比例</x:v>
      </x:c>
      <x:c r="B5" s="11" t="n">
        <x:f>SUM(Allocation!D2:D12)</x:f>
        <x:v>0.5800000000000001</x:v>
      </x:c>
    </x:row>
    <x:row r="6" ht="22" customHeight="1">
      <x:c r="A6" s="32" t="str">
        <x:v>第一年动态目标金额（元）</x:v>
      </x:c>
      <x:c r="B6" s="12" t="n">
        <x:f>SUM(Allocation!G2:G12)</x:f>
        <x:v>2774140</x:v>
      </x:c>
    </x:row>
    <x:row r="7" ht="22" customHeight="1">
      <x:c r="A7" s="32" t="str">
        <x:v>当前已映射金额（元）</x:v>
      </x:c>
      <x:c r="B7" s="12" t="n">
        <x:f>SUM(Allocation!H2:H12)</x:f>
        <x:v>667203.7999999999</x:v>
      </x:c>
    </x:row>
    <x:row r="8" ht="22" customHeight="1">
      <x:c r="A8" s="32" t="str">
        <x:v>年度资金缺口（元）</x:v>
      </x:c>
      <x:c r="B8" s="13" t="n">
        <x:f>B6-B7</x:f>
        <x:v>2106936.2</x:v>
      </x:c>
    </x:row>
    <x:row r="9" ht="22" customHeight="1">
      <x:c r="A9" s="32" t="str">
        <x:v>年度完成率</x:v>
      </x:c>
      <x:c r="B9" s="14" t="n">
        <x:f>IF(B6=0,0,B7/B6)</x:f>
        <x:v>0.24050833771907687</x:v>
      </x:c>
    </x:row>
    <x:row r="10" ht="22" customHeight="1">
      <x:c r="A10" s="32" t="str">
        <x:v>未配置目标比例</x:v>
      </x:c>
      <x:c r="B10" s="14" t="n">
        <x:f>MAX(1-B5,0)</x:f>
        <x:v>0.41999999999999993</x:v>
      </x:c>
    </x:row>
    <x:row r="12">
      <x:c r="A12" s="17" t="str">
        <x:v>口径说明：第一年配置使用全资产口径；证券账户目标继续作为集中度硬约束。年度资金缺口只代表长期规划空间，不构成当日买入信号。目标收益为观察区间，不是承诺收益。</x:v>
      </x:c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</x:sheetData>
  <x:mergeCells>
    <x:mergeCell ref="A1:H1"/>
    <x:mergeCell ref="A12:H15"/>
  </x:mergeCells>
  <x:pageMargins left="0.7" right="0.7" top="0.75" bottom="0.75" header="0.3" footer="0.3"/>
  <x:drawing xmlns:r="http://schemas.openxmlformats.org/officeDocument/2006/relationships" r:id="Red79a217089448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3" hidden="0" customWidth="1"/>
    <x:col min="5" max="5" width="23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  <x:col min="16" max="16" width="46" hidden="0" customWidth="1"/>
    <x:col min="17" max="17" width="20" hidden="0" customWidth="1"/>
  </x:cols>
  <x:sheetData>
    <x:row r="1">
      <x:c r="A1" s="6" t="str">
        <x:v>配置键</x:v>
      </x:c>
      <x:c r="B1" s="6" t="str">
        <x:v>配置项</x:v>
      </x:c>
      <x:c r="C1" s="6" t="str">
        <x:v>资产层级</x:v>
      </x:c>
      <x:c r="D1" s="6" t="str">
        <x:v>年度目标占比</x:v>
      </x:c>
      <x:c r="E1" s="6" t="str">
        <x:v>映射代码</x:v>
      </x:c>
      <x:c r="F1" s="6" t="str">
        <x:v>配置表目标金额</x:v>
      </x:c>
      <x:c r="G1" s="6" t="str">
        <x:v>动态目标金额</x:v>
      </x:c>
      <x:c r="H1" s="6" t="str">
        <x:v>当前金额</x:v>
      </x:c>
      <x:c r="I1" s="6" t="str">
        <x:v>配置表当前金额约</x:v>
      </x:c>
      <x:c r="J1" s="6" t="str">
        <x:v>年度资金缺口</x:v>
      </x:c>
      <x:c r="K1" s="6" t="str">
        <x:v>年度完成率</x:v>
      </x:c>
      <x:c r="L1" s="6" t="str">
        <x:v>目标收益下限</x:v>
      </x:c>
      <x:c r="M1" s="6" t="str">
        <x:v>目标收益上限</x:v>
      </x:c>
      <x:c r="N1" s="6" t="str">
        <x:v>配置状态</x:v>
      </x:c>
      <x:c r="O1" s="6" t="str">
        <x:v>进度状态</x:v>
      </x:c>
      <x:c r="P1" s="6" t="str">
        <x:v>执行约束</x:v>
      </x:c>
      <x:c r="Q1" s="6" t="str">
        <x:v>来源</x:v>
      </x:c>
    </x:row>
    <x:row r="2">
      <x:c r="A2" s="7" t="str">
        <x:v>semiconductor</x:v>
      </x:c>
      <x:c r="B2" s="21" t="str">
        <x:v>半导体设备ETF 159516</x:v>
      </x:c>
      <x:c r="C2" s="21" t="str">
        <x:v>第一核心成长</x:v>
      </x:c>
      <x:c r="D2" s="22" t="n">
        <x:v>0.08</x:v>
      </x:c>
      <x:c r="E2" s="21" t="str">
        <x:v>159516</x:v>
      </x:c>
      <x:c r="F2" s="23" t="n">
        <x:v>384000</x:v>
      </x:c>
      <x:c r="G2" s="24" t="n">
        <x:f>Summary!$B$4*D2</x:f>
        <x:v>382640</x:v>
      </x:c>
      <x:c r="H2" s="24" t="n">
        <x:f>SUMIF(Mapping!$A$2:$A$30,A2,Mapping!$D$2:$D$30)</x:f>
        <x:v>60640</x:v>
      </x:c>
      <x:c r="I2" s="25" t="n">
        <x:v>60800</x:v>
      </x:c>
      <x:c r="J2" s="26" t="n">
        <x:f>G2-H2</x:f>
        <x:v>322000</x:v>
      </x:c>
      <x:c r="K2" s="27" t="n">
        <x:f>IF(G2=0,0,H2/G2)</x:f>
        <x:v>0.15847794271377796</x:v>
      </x:c>
      <x:c r="L2" s="27" t="n">
        <x:v>0.2</x:v>
      </x:c>
      <x:c r="M2" s="27" t="n">
        <x:v>0.3</x:v>
      </x:c>
      <x:c r="N2" s="28" t="str">
        <x:v>按分析结果调整</x:v>
      </x:c>
      <x:c r="O2" s="28" t="str">
        <x:f>IF(E2="待选","待选择合格标的",IF(J2&lt;=0,"达到或超过年度目标",IF(K2&gt;=80%,"接近年度目标","配置中")))</x:f>
        <x:v>配置中</x:v>
      </x:c>
      <x:c r="P2" s="29" t="str">
        <x:v>完整质量评分+双锚+情绪+六项买点+证券账户上限</x:v>
      </x:c>
      <x:c r="Q2" s="29" t="str">
        <x:v>1st年配置表.xlsx</x:v>
      </x:c>
    </x:row>
    <x:row r="3">
      <x:c r="A3" s="7" t="str">
        <x:v>robotics</x:v>
      </x:c>
      <x:c r="B3" s="21" t="str">
        <x:v>机器人ETF 562500</x:v>
      </x:c>
      <x:c r="C3" s="21" t="str">
        <x:v>核心成长</x:v>
      </x:c>
      <x:c r="D3" s="22" t="n">
        <x:v>0.08</x:v>
      </x:c>
      <x:c r="E3" s="21" t="str">
        <x:v>562500</x:v>
      </x:c>
      <x:c r="F3" s="23" t="n">
        <x:v>384000</x:v>
      </x:c>
      <x:c r="G3" s="24" t="n">
        <x:f>Summary!$B$4*D3</x:f>
        <x:v>382640</x:v>
      </x:c>
      <x:c r="H3" s="24" t="n">
        <x:f>SUMIF(Mapping!$A$2:$A$30,A3,Mapping!$D$2:$D$30)</x:f>
        <x:v>139459.2</x:v>
      </x:c>
      <x:c r="I3" s="25" t="n">
        <x:v>139700</x:v>
      </x:c>
      <x:c r="J3" s="26" t="n">
        <x:f>G3-H3</x:f>
        <x:v>243180.8</x:v>
      </x:c>
      <x:c r="K3" s="27" t="n">
        <x:f>IF(G3=0,0,H3/G3)</x:f>
        <x:v>0.364465816433201</x:v>
      </x:c>
      <x:c r="L3" s="27" t="n">
        <x:v>0.18</x:v>
      </x:c>
      <x:c r="M3" s="27" t="n">
        <x:v>0.25</x:v>
      </x:c>
      <x:c r="N3" s="28" t="str">
        <x:v>按分析结果调整</x:v>
      </x:c>
      <x:c r="O3" s="28" t="str">
        <x:f>IF(E3="待选","待选择合格标的",IF(J3&lt;=0,"达到或超过年度目标",IF(K3&gt;=80%,"接近年度目标","配置中")))</x:f>
        <x:v>配置中</x:v>
      </x:c>
      <x:c r="P3" s="29" t="str">
        <x:v>完整质量评分+持有不加纪律+证券账户上限</x:v>
      </x:c>
      <x:c r="Q3" s="29" t="str">
        <x:v>1st年配置表.xlsx</x:v>
      </x:c>
    </x:row>
    <x:row r="4">
      <x:c r="A4" s="7" t="str">
        <x:v>chinext_ai</x:v>
      </x:c>
      <x:c r="B4" s="21" t="str">
        <x:v>创业板人工智能ETF 159381</x:v>
      </x:c>
      <x:c r="C4" s="21" t="str">
        <x:v>核心成长</x:v>
      </x:c>
      <x:c r="D4" s="22" t="n">
        <x:v>0.06</x:v>
      </x:c>
      <x:c r="E4" s="21" t="str">
        <x:v>159381</x:v>
      </x:c>
      <x:c r="F4" s="23" t="n">
        <x:v>288000</x:v>
      </x:c>
      <x:c r="G4" s="24" t="n">
        <x:f>Summary!$B$4*D4</x:f>
        <x:v>286980</x:v>
      </x:c>
      <x:c r="H4" s="24" t="n">
        <x:f>SUMIF(Mapping!$A$2:$A$30,A4,Mapping!$D$2:$D$30)</x:f>
        <x:v>21675</x:v>
      </x:c>
      <x:c r="I4" s="25" t="n">
        <x:v>21900</x:v>
      </x:c>
      <x:c r="J4" s="26" t="n">
        <x:f>G4-H4</x:f>
        <x:v>265305</x:v>
      </x:c>
      <x:c r="K4" s="27" t="n">
        <x:f>IF(G4=0,0,H4/G4)</x:f>
        <x:v>0.0755279113527075</x:v>
      </x:c>
      <x:c r="L4" s="27" t="n">
        <x:v>0.2</x:v>
      </x:c>
      <x:c r="M4" s="27" t="n">
        <x:v>0.3</x:v>
      </x:c>
      <x:c r="N4" s="28" t="str">
        <x:v>按分析结果调整</x:v>
      </x:c>
      <x:c r="O4" s="28" t="str">
        <x:f>IF(E4="待选","待选择合格标的",IF(J4&lt;=0,"达到或超过年度目标",IF(K4&gt;=80%,"接近年度目标","配置中")))</x:f>
        <x:v>配置中</x:v>
      </x:c>
      <x:c r="P4" s="29" t="str">
        <x:v>完整质量评分+双锚+情绪+六项买点+证券账户上限</x:v>
      </x:c>
      <x:c r="Q4" s="29" t="str">
        <x:v>1st年配置表.xlsx</x:v>
      </x:c>
    </x:row>
    <x:row r="5">
      <x:c r="A5" s="7" t="str">
        <x:v>innovative_medicine</x:v>
      </x:c>
      <x:c r="B5" s="21" t="str">
        <x:v>创新药ETF</x:v>
      </x:c>
      <x:c r="C5" s="21" t="str">
        <x:v>核心观察</x:v>
      </x:c>
      <x:c r="D5" s="22" t="n">
        <x:v>0.02</x:v>
      </x:c>
      <x:c r="E5" s="21" t="str">
        <x:v>588700</x:v>
      </x:c>
      <x:c r="F5" s="23" t="n">
        <x:v>96000</x:v>
      </x:c>
      <x:c r="G5" s="24" t="n">
        <x:f>Summary!$B$4*D5</x:f>
        <x:v>95660</x:v>
      </x:c>
      <x:c r="H5" s="24" t="n">
        <x:f>SUMIF(Mapping!$A$2:$A$30,A5,Mapping!$D$2:$D$30)</x:f>
        <x:v>0</x:v>
      </x:c>
      <x:c r="I5" s="25" t="n">
        <x:v>0</x:v>
      </x:c>
      <x:c r="J5" s="26" t="n">
        <x:f>G5-H5</x:f>
        <x:v>95660</x:v>
      </x:c>
      <x:c r="K5" s="27" t="n">
        <x:f>IF(G5=0,0,H5/G5)</x:f>
        <x:v>0</x:v>
      </x:c>
      <x:c r="L5" s="27" t="n">
        <x:v>0.15</x:v>
      </x:c>
      <x:c r="M5" s="27" t="n">
        <x:v>0.25</x:v>
      </x:c>
      <x:c r="N5" s="28" t="str">
        <x:v>待建仓</x:v>
      </x:c>
      <x:c r="O5" s="28" t="str">
        <x:f>IF(E5="待选","待选择合格标的",IF(J5&lt;=0,"达到或超过年度目标",IF(K5&gt;=80%,"接近年度目标","配置中")))</x:f>
        <x:v>配置中</x:v>
      </x:c>
      <x:c r="P5" s="29" t="str">
        <x:v>四证据模型+价格提醒后二次确认+证券账户上限</x:v>
      </x:c>
      <x:c r="Q5" s="29" t="str">
        <x:v>1st年配置表.xlsx</x:v>
      </x:c>
    </x:row>
    <x:row r="6">
      <x:c r="A6" s="7" t="str">
        <x:v>new_energy_legacy</x:v>
      </x:c>
      <x:c r="B6" s="21" t="str">
        <x:v>比亚迪+绿电+储能</x:v>
      </x:c>
      <x:c r="C6" s="21" t="str">
        <x:v>非核心成长保留</x:v>
      </x:c>
      <x:c r="D6" s="22" t="n">
        <x:v>0.03</x:v>
      </x:c>
      <x:c r="E6" s="21" t="str">
        <x:v>002594|562550|159566</x:v>
      </x:c>
      <x:c r="F6" s="23" t="n">
        <x:v>144000</x:v>
      </x:c>
      <x:c r="G6" s="24" t="n">
        <x:f>Summary!$B$4*D6</x:f>
        <x:v>143490</x:v>
      </x:c>
      <x:c r="H6" s="24" t="n">
        <x:f>SUMIF(Mapping!$A$2:$A$30,A6,Mapping!$D$2:$D$30)</x:f>
        <x:v>191942.4</x:v>
      </x:c>
      <x:c r="I6" s="25" t="n">
        <x:v>191200</x:v>
      </x:c>
      <x:c r="J6" s="26" t="n">
        <x:f>G6-H6</x:f>
        <x:v>-48452.399999999994</x:v>
      </x:c>
      <x:c r="K6" s="27" t="n">
        <x:f>IF(G6=0,0,H6/G6)</x:f>
        <x:v>1.3376709178339954</x:v>
      </x:c>
      <x:c r="L6" s="27" t="n">
        <x:v>0.08</x:v>
      </x:c>
      <x:c r="M6" s="27" t="n">
        <x:v>0.15</x:v>
      </x:c>
      <x:c r="N6" s="28" t="str">
        <x:v>按分析结果调整</x:v>
      </x:c>
      <x:c r="O6" s="28" t="str">
        <x:f>IF(E6="待选","待选择合格标的",IF(J6&lt;=0,"达到或超过年度目标",IF(K6&gt;=80%,"接近年度目标","配置中")))</x:f>
        <x:v>达到或超过年度目标</x:v>
      </x:c>
      <x:c r="P6" s="29" t="str">
        <x:v>遗留仓不加仓；以压降和结构优化为主</x:v>
      </x:c>
      <x:c r="Q6" s="29" t="str">
        <x:v>1st年配置表.xlsx</x:v>
      </x:c>
    </x:row>
    <x:row r="7">
      <x:c r="A7" s="7" t="str">
        <x:v>cloud_transition</x:v>
      </x:c>
      <x:c r="B7" s="21" t="str">
        <x:v>云计算ETF</x:v>
      </x:c>
      <x:c r="C7" s="21" t="str">
        <x:v>观察/过渡仓</x:v>
      </x:c>
      <x:c r="D7" s="22" t="n">
        <x:v>0.03</x:v>
      </x:c>
      <x:c r="E7" s="21" t="str">
        <x:v>516630</x:v>
      </x:c>
      <x:c r="F7" s="23" t="n">
        <x:v>144000</x:v>
      </x:c>
      <x:c r="G7" s="24" t="n">
        <x:f>Summary!$B$4*D7</x:f>
        <x:v>143490</x:v>
      </x:c>
      <x:c r="H7" s="24" t="n">
        <x:f>SUMIF(Mapping!$A$2:$A$30,A7,Mapping!$D$2:$D$30)</x:f>
        <x:v>63344</x:v>
      </x:c>
      <x:c r="I7" s="25" t="n">
        <x:v>63500</x:v>
      </x:c>
      <x:c r="J7" s="26" t="n">
        <x:f>G7-H7</x:f>
        <x:v>80146</x:v>
      </x:c>
      <x:c r="K7" s="27" t="n">
        <x:f>IF(G7=0,0,H7/G7)</x:f>
        <x:v>0.4414523660185379</x:v>
      </x:c>
      <x:c r="L7" s="27" t="n">
        <x:v>0.08</x:v>
      </x:c>
      <x:c r="M7" s="27" t="n">
        <x:v>0.15</x:v>
      </x:c>
      <x:c r="N7" s="28" t="str">
        <x:v>按分析结果调整</x:v>
      </x:c>
      <x:c r="O7" s="28" t="str">
        <x:f>IF(E7="待选","待选择合格标的",IF(J7&lt;=0,"达到或超过年度目标",IF(K7&gt;=80%,"接近年度目标","配置中")))</x:f>
        <x:v>配置中</x:v>
      </x:c>
      <x:c r="P7" s="29" t="str">
        <x:v>战术仓纪律+完整质量评分+证券账户上限</x:v>
      </x:c>
      <x:c r="Q7" s="29" t="str">
        <x:v>1st年配置表.xlsx</x:v>
      </x:c>
    </x:row>
    <x:row r="8">
      <x:c r="A8" s="7" t="str">
        <x:v>a500_low_vol</x:v>
      </x:c>
      <x:c r="B8" s="21" t="str">
        <x:v>中证A500ETF</x:v>
      </x:c>
      <x:c r="C8" s="21" t="str">
        <x:v>低波权益</x:v>
      </x:c>
      <x:c r="D8" s="22" t="n">
        <x:v>0.08</x:v>
      </x:c>
      <x:c r="E8" s="21" t="str">
        <x:v>159338|510210</x:v>
      </x:c>
      <x:c r="F8" s="23" t="n">
        <x:v>384000</x:v>
      </x:c>
      <x:c r="G8" s="24" t="n">
        <x:f>Summary!$B$4*D8</x:f>
        <x:v>382640</x:v>
      </x:c>
      <x:c r="H8" s="24" t="n">
        <x:f>SUMIF(Mapping!$A$2:$A$30,A8,Mapping!$D$2:$D$30)</x:f>
        <x:v>109274.2</x:v>
      </x:c>
      <x:c r="I8" s="25" t="n">
        <x:v>109300</x:v>
      </x:c>
      <x:c r="J8" s="26" t="n">
        <x:f>G8-H8</x:f>
        <x:v>273365.8</x:v>
      </x:c>
      <x:c r="K8" s="27" t="n">
        <x:f>IF(G8=0,0,H8/G8)</x:f>
        <x:v>0.285579657118963</x:v>
      </x:c>
      <x:c r="L8" s="27" t="n">
        <x:v>0.06</x:v>
      </x:c>
      <x:c r="M8" s="27" t="n">
        <x:v>0.1</x:v>
      </x:c>
      <x:c r="N8" s="28" t="str">
        <x:v>按分析结果调整</x:v>
      </x:c>
      <x:c r="O8" s="28" t="str">
        <x:f>IF(E8="待选","待选择合格标的",IF(J8&lt;=0,"达到或超过年度目标",IF(K8&gt;=80%,"接近年度目标","配置中")))</x:f>
        <x:v>配置中</x:v>
      </x:c>
      <x:c r="P8" s="29" t="str">
        <x:v>宽基合并统计；避免A500与上证ETF重复暴露</x:v>
      </x:c>
      <x:c r="Q8" s="29" t="str">
        <x:v>1st年配置表.xlsx</x:v>
      </x:c>
    </x:row>
    <x:row r="9">
      <x:c r="A9" s="7" t="str">
        <x:v>dividend_low_vol</x:v>
      </x:c>
      <x:c r="B9" s="21" t="str">
        <x:v>红利低波ETF</x:v>
      </x:c>
      <x:c r="C9" s="21" t="str">
        <x:v>低波权益</x:v>
      </x:c>
      <x:c r="D9" s="22" t="n">
        <x:v>0.05</x:v>
      </x:c>
      <x:c r="E9" s="21" t="str">
        <x:v>512890</x:v>
      </x:c>
      <x:c r="F9" s="23" t="n">
        <x:v>240000</x:v>
      </x:c>
      <x:c r="G9" s="24" t="n">
        <x:f>Summary!$B$4*D9</x:f>
        <x:v>239150</x:v>
      </x:c>
      <x:c r="H9" s="24" t="n">
        <x:f>SUMIF(Mapping!$A$2:$A$30,A9,Mapping!$D$2:$D$30)</x:f>
        <x:v>42370</x:v>
      </x:c>
      <x:c r="I9" s="25" t="n">
        <x:v>42400</x:v>
      </x:c>
      <x:c r="J9" s="26" t="n">
        <x:f>G9-H9</x:f>
        <x:v>196780</x:v>
      </x:c>
      <x:c r="K9" s="27" t="n">
        <x:f>IF(G9=0,0,H9/G9)</x:f>
        <x:v>0.17716914070666945</x:v>
      </x:c>
      <x:c r="L9" s="27" t="n">
        <x:v>0.05</x:v>
      </x:c>
      <x:c r="M9" s="27" t="n">
        <x:v>0.08</x:v>
      </x:c>
      <x:c r="N9" s="28" t="str">
        <x:v>按分析结果调整</x:v>
      </x:c>
      <x:c r="O9" s="28" t="str">
        <x:f>IF(E9="待选","待选择合格标的",IF(J9&lt;=0,"达到或超过年度目标",IF(K9&gt;=80%,"接近年度目标","配置中")))</x:f>
        <x:v>配置中</x:v>
      </x:c>
      <x:c r="P9" s="29" t="str">
        <x:v>不计入现金安全垫；遵守买点与账户上限</x:v>
      </x:c>
      <x:c r="Q9" s="29" t="str">
        <x:v>1st年配置表.xlsx</x:v>
      </x:c>
    </x:row>
    <x:row r="10">
      <x:c r="A10" s="7" t="str">
        <x:v>convertible_bond</x:v>
      </x:c>
      <x:c r="B10" s="21" t="str">
        <x:v>可转债ETF</x:v>
      </x:c>
      <x:c r="C10" s="21" t="str">
        <x:v>弹性低波</x:v>
      </x:c>
      <x:c r="D10" s="22" t="n">
        <x:v>0.1</x:v>
      </x:c>
      <x:c r="E10" s="21" t="str">
        <x:v>511180</x:v>
      </x:c>
      <x:c r="F10" s="23" t="n">
        <x:v>480000</x:v>
      </x:c>
      <x:c r="G10" s="24" t="n">
        <x:f>Summary!$B$4*D10</x:f>
        <x:v>478300</x:v>
      </x:c>
      <x:c r="H10" s="24" t="n">
        <x:f>SUMIF(Mapping!$A$2:$A$30,A10,Mapping!$D$2:$D$30)</x:f>
        <x:v>38499</x:v>
      </x:c>
      <x:c r="I10" s="25" t="n">
        <x:v>38400</x:v>
      </x:c>
      <x:c r="J10" s="26" t="n">
        <x:f>G10-H10</x:f>
        <x:v>439801</x:v>
      </x:c>
      <x:c r="K10" s="27" t="n">
        <x:f>IF(G10=0,0,H10/G10)</x:f>
        <x:v>0.08049132343717333</x:v>
      </x:c>
      <x:c r="L10" s="27" t="n">
        <x:v>0.06</x:v>
      </x:c>
      <x:c r="M10" s="27" t="n">
        <x:v>0.1</x:v>
      </x:c>
      <x:c r="N10" s="28" t="str">
        <x:v>按分析结果调整</x:v>
      </x:c>
      <x:c r="O10" s="28" t="str">
        <x:f>IF(E10="待选","待选择合格标的",IF(J10&lt;=0,"达到或超过年度目标",IF(K10&gt;=80%,"接近年度目标","配置中")))</x:f>
        <x:v>配置中</x:v>
      </x:c>
      <x:c r="P10" s="29" t="str">
        <x:v>不计入现金安全垫；分批配置</x:v>
      </x:c>
      <x:c r="Q10" s="29" t="str">
        <x:v>1st年配置表.xlsx</x:v>
      </x:c>
    </x:row>
    <x:row r="11">
      <x:c r="A11" s="7" t="str">
        <x:v>tactical_opportunity</x:v>
      </x:c>
      <x:c r="B11" s="21" t="str">
        <x:v>战术机会仓</x:v>
      </x:c>
      <x:c r="C11" s="21" t="str">
        <x:v>战术仓</x:v>
      </x:c>
      <x:c r="D11" s="22" t="n">
        <x:v>0.03</x:v>
      </x:c>
      <x:c r="E11" s="21" t="str">
        <x:v>待选</x:v>
      </x:c>
      <x:c r="F11" s="23" t="n">
        <x:v>144000</x:v>
      </x:c>
      <x:c r="G11" s="24" t="n">
        <x:f>Summary!$B$4*D11</x:f>
        <x:v>143490</x:v>
      </x:c>
      <x:c r="H11" s="24" t="n">
        <x:f>SUMIF(Mapping!$A$2:$A$30,A11,Mapping!$D$2:$D$30)</x:f>
        <x:v>0</x:v>
      </x:c>
      <x:c r="I11" s="25" t="n">
        <x:v>0</x:v>
      </x:c>
      <x:c r="J11" s="26" t="n">
        <x:f>G11-H11</x:f>
        <x:v>143490</x:v>
      </x:c>
      <x:c r="K11" s="27" t="n">
        <x:f>IF(G11=0,0,H11/G11)</x:f>
        <x:v>0</x:v>
      </x:c>
      <x:c r="L11" s="27" t="n">
        <x:v>0.15</x:v>
      </x:c>
      <x:c r="M11" s="27" t="n">
        <x:v>0.3</x:v>
      </x:c>
      <x:c r="N11" s="28" t="str">
        <x:v>待建仓</x:v>
      </x:c>
      <x:c r="O11" s="28" t="str">
        <x:f>IF(E11="待选","待选择合格标的",IF(J11&lt;=0,"达到或超过年度目标",IF(K11&gt;=80%,"接近年度目标","配置中")))</x:f>
        <x:v>待选择合格标的</x:v>
      </x:c>
      <x:c r="P11" s="29" t="str">
        <x:v>单日仅一个买入方向；严格止损与退出</x:v>
      </x:c>
      <x:c r="Q11" s="29" t="str">
        <x:v>1st年配置表.xlsx</x:v>
      </x:c>
    </x:row>
    <x:row r="12">
      <x:c r="A12" s="7" t="str">
        <x:v>quality_stock_basket</x:v>
      </x:c>
      <x:c r="B12" s="21" t="str">
        <x:v>AI/半导体高质量个股篮子</x:v>
      </x:c>
      <x:c r="C12" s="21" t="str">
        <x:v>战略成长</x:v>
      </x:c>
      <x:c r="D12" s="22" t="n">
        <x:v>0.02</x:v>
      </x:c>
      <x:c r="E12" s="21" t="str">
        <x:v>待选</x:v>
      </x:c>
      <x:c r="F12" s="23" t="n">
        <x:v>96000</x:v>
      </x:c>
      <x:c r="G12" s="24" t="n">
        <x:f>Summary!$B$4*D12</x:f>
        <x:v>95660</x:v>
      </x:c>
      <x:c r="H12" s="24" t="n">
        <x:f>SUMIF(Mapping!$A$2:$A$30,A12,Mapping!$D$2:$D$30)</x:f>
        <x:v>0</x:v>
      </x:c>
      <x:c r="I12" s="25" t="n">
        <x:v>0</x:v>
      </x:c>
      <x:c r="J12" s="26" t="n">
        <x:f>G12-H12</x:f>
        <x:v>95660</x:v>
      </x:c>
      <x:c r="K12" s="27" t="n">
        <x:f>IF(G12=0,0,H12/G12)</x:f>
        <x:v>0</x:v>
      </x:c>
      <x:c r="L12" s="27" t="n">
        <x:v>0.25</x:v>
      </x:c>
      <x:c r="M12" s="27" t="n">
        <x:v>0.35</x:v>
      </x:c>
      <x:c r="N12" s="28" t="str">
        <x:v>待建仓</x:v>
      </x:c>
      <x:c r="O12" s="28" t="str">
        <x:f>IF(E12="待选","待选择合格标的",IF(J12&lt;=0,"达到或超过年度目标",IF(K12&gt;=80%,"接近年度目标","配置中")))</x:f>
        <x:v>待选择合格标的</x:v>
      </x:c>
      <x:c r="P12" s="29" t="str">
        <x:v>个股质量评分≥8；单股穿透与止损上限</x:v>
      </x:c>
      <x:c r="Q12" s="29" t="str">
        <x:v>1st年配置表.xlsx</x:v>
      </x:c>
    </x:row>
  </x:sheetData>
  <x:pageMargins left="0.7" right="0.7" top="0.75" bottom="0.75" header="0.3" footer="0.3"/>
  <x:tableParts count="1">
    <x:tablePart xmlns:r="http://schemas.openxmlformats.org/officeDocument/2006/relationships" r:id="R1465699050f945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16" hidden="0" customWidth="1"/>
    <x:col min="5" max="5" width="30" hidden="0" customWidth="1"/>
  </x:cols>
  <x:sheetData>
    <x:row r="1">
      <x:c r="A1" s="6" t="str">
        <x:v>配置键</x:v>
      </x:c>
      <x:c r="B1" s="6" t="str">
        <x:v>代码</x:v>
      </x:c>
      <x:c r="C1" s="6" t="str">
        <x:v>名称</x:v>
      </x:c>
      <x:c r="D1" s="6" t="str">
        <x:v>当前市值</x:v>
      </x:c>
      <x:c r="E1" s="6" t="str">
        <x:v>配置项</x:v>
      </x:c>
    </x:row>
    <x:row r="2">
      <x:c r="A2" s="7" t="str">
        <x:v>semiconductor</x:v>
      </x:c>
      <x:c r="B2" s="7" t="str">
        <x:v>159516</x:v>
      </x:c>
      <x:c r="C2" s="7" t="str">
        <x:v>半导体设备ETF</x:v>
      </x:c>
      <x:c r="D2" s="10" t="n">
        <x:v>60640</x:v>
      </x:c>
      <x:c r="E2" s="7" t="str">
        <x:v>半导体设备ETF 159516</x:v>
      </x:c>
    </x:row>
    <x:row r="3">
      <x:c r="A3" s="7" t="str">
        <x:v>robotics</x:v>
      </x:c>
      <x:c r="B3" s="7" t="str">
        <x:v>562500</x:v>
      </x:c>
      <x:c r="C3" s="7" t="str">
        <x:v>机器人ETF</x:v>
      </x:c>
      <x:c r="D3" s="10" t="n">
        <x:v>139459.2</x:v>
      </x:c>
      <x:c r="E3" s="7" t="str">
        <x:v>机器人ETF 562500</x:v>
      </x:c>
    </x:row>
    <x:row r="4">
      <x:c r="A4" s="7" t="str">
        <x:v>chinext_ai</x:v>
      </x:c>
      <x:c r="B4" s="7" t="str">
        <x:v>159381</x:v>
      </x:c>
      <x:c r="C4" s="7" t="str">
        <x:v>创业板人工智能ETF</x:v>
      </x:c>
      <x:c r="D4" s="10" t="n">
        <x:v>21675</x:v>
      </x:c>
      <x:c r="E4" s="7" t="str">
        <x:v>创业板人工智能ETF 159381</x:v>
      </x:c>
    </x:row>
    <x:row r="5">
      <x:c r="A5" s="7" t="str">
        <x:v>innovative_medicine</x:v>
      </x:c>
      <x:c r="B5" s="7" t="str">
        <x:v>588700</x:v>
      </x:c>
      <x:c r="C5" s="7" t="str">
        <x:v>未持有</x:v>
      </x:c>
      <x:c r="D5" s="10" t="n">
        <x:v>0</x:v>
      </x:c>
      <x:c r="E5" s="7" t="str">
        <x:v>创新药ETF</x:v>
      </x:c>
    </x:row>
    <x:row r="6">
      <x:c r="A6" s="7" t="str">
        <x:v>new_energy_legacy</x:v>
      </x:c>
      <x:c r="B6" s="7" t="str">
        <x:v>002594</x:v>
      </x:c>
      <x:c r="C6" s="7" t="str">
        <x:v>比亚迪</x:v>
      </x:c>
      <x:c r="D6" s="10" t="n">
        <x:v>97504</x:v>
      </x:c>
      <x:c r="E6" s="7" t="str">
        <x:v>比亚迪+绿电+储能</x:v>
      </x:c>
    </x:row>
    <x:row r="7">
      <x:c r="A7" s="7" t="str">
        <x:v>new_energy_legacy</x:v>
      </x:c>
      <x:c r="B7" s="7" t="str">
        <x:v>562550</x:v>
      </x:c>
      <x:c r="C7" s="7" t="str">
        <x:v>绿电ETF</x:v>
      </x:c>
      <x:c r="D7" s="10" t="n">
        <x:v>47600</x:v>
      </x:c>
      <x:c r="E7" s="7" t="str">
        <x:v>比亚迪+绿电+储能</x:v>
      </x:c>
    </x:row>
    <x:row r="8">
      <x:c r="A8" s="7" t="str">
        <x:v>new_energy_legacy</x:v>
      </x:c>
      <x:c r="B8" s="7" t="str">
        <x:v>159566</x:v>
      </x:c>
      <x:c r="C8" s="7" t="str">
        <x:v>储能电池ETF</x:v>
      </x:c>
      <x:c r="D8" s="10" t="n">
        <x:v>46838.4</x:v>
      </x:c>
      <x:c r="E8" s="7" t="str">
        <x:v>比亚迪+绿电+储能</x:v>
      </x:c>
    </x:row>
    <x:row r="9">
      <x:c r="A9" s="7" t="str">
        <x:v>cloud_transition</x:v>
      </x:c>
      <x:c r="B9" s="7" t="str">
        <x:v>516630</x:v>
      </x:c>
      <x:c r="C9" s="7" t="str">
        <x:v>云计算ETF</x:v>
      </x:c>
      <x:c r="D9" s="10" t="n">
        <x:v>63344</x:v>
      </x:c>
      <x:c r="E9" s="7" t="str">
        <x:v>云计算ETF</x:v>
      </x:c>
    </x:row>
    <x:row r="10">
      <x:c r="A10" s="7" t="str">
        <x:v>a500_low_vol</x:v>
      </x:c>
      <x:c r="B10" s="7" t="str">
        <x:v>159338</x:v>
      </x:c>
      <x:c r="C10" s="7" t="str">
        <x:v>中证A500ETF</x:v>
      </x:c>
      <x:c r="D10" s="10" t="n">
        <x:v>73294.2</x:v>
      </x:c>
      <x:c r="E10" s="7" t="str">
        <x:v>中证A500ETF</x:v>
      </x:c>
    </x:row>
    <x:row r="11">
      <x:c r="A11" s="7" t="str">
        <x:v>a500_low_vol</x:v>
      </x:c>
      <x:c r="B11" s="7" t="str">
        <x:v>510210</x:v>
      </x:c>
      <x:c r="C11" s="7" t="str">
        <x:v>上证ETF</x:v>
      </x:c>
      <x:c r="D11" s="10" t="n">
        <x:v>35980</x:v>
      </x:c>
      <x:c r="E11" s="7" t="str">
        <x:v>中证A500ETF</x:v>
      </x:c>
    </x:row>
    <x:row r="12">
      <x:c r="A12" s="7" t="str">
        <x:v>dividend_low_vol</x:v>
      </x:c>
      <x:c r="B12" s="7" t="str">
        <x:v>512890</x:v>
      </x:c>
      <x:c r="C12" s="7" t="str">
        <x:v>红利低波ETF</x:v>
      </x:c>
      <x:c r="D12" s="10" t="n">
        <x:v>42370</x:v>
      </x:c>
      <x:c r="E12" s="7" t="str">
        <x:v>红利低波ETF</x:v>
      </x:c>
    </x:row>
    <x:row r="13">
      <x:c r="A13" s="7" t="str">
        <x:v>convertible_bond</x:v>
      </x:c>
      <x:c r="B13" s="7" t="str">
        <x:v>511180</x:v>
      </x:c>
      <x:c r="C13" s="7" t="str">
        <x:v>可转债ETF</x:v>
      </x:c>
      <x:c r="D13" s="10" t="n">
        <x:v>38499</x:v>
      </x:c>
      <x:c r="E13" s="7" t="str">
        <x:v>可转债ETF</x:v>
      </x:c>
    </x:row>
  </x:sheetData>
  <x:pageMargins left="0.7" right="0.7" top="0.75" bottom="0.75" header="0.3" footer="0.3"/>
  <x:tableParts count="1">
    <x:tablePart xmlns:r="http://schemas.openxmlformats.org/officeDocument/2006/relationships" r:id="Rbf82fa79b01747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6" hidden="0" customWidth="1"/>
    <x:col min="4" max="4" width="44" hidden="0" customWidth="1"/>
  </x:cols>
  <x:sheetData>
    <x:row r="1">
      <x:c r="A1" s="6" t="str">
        <x:v>规则模块</x:v>
      </x:c>
      <x:c r="B1" s="6" t="str">
        <x:v>规则</x:v>
      </x:c>
      <x:c r="C1" s="6" t="str">
        <x:v>定义</x:v>
      </x:c>
      <x:c r="D1" s="6" t="str">
        <x:v>执行含义</x:v>
      </x:c>
    </x:row>
    <x:row r="2">
      <x:c r="A2" s="29" t="str">
        <x:v>双口径</x:v>
      </x:c>
      <x:c r="B2" s="29" t="str">
        <x:v>第一年配置</x:v>
      </x:c>
      <x:c r="C2" s="29" t="str">
        <x:v>全资产目标占比与金额</x:v>
      </x:c>
      <x:c r="D2" s="29" t="str">
        <x:v>决定长期规划上限</x:v>
      </x:c>
    </x:row>
    <x:row r="3">
      <x:c r="A3" s="29" t="str">
        <x:v>双口径</x:v>
      </x:c>
      <x:c r="B3" s="29" t="str">
        <x:v>证券账户目标</x:v>
      </x:c>
      <x:c r="C3" s="29" t="str">
        <x:v>单只持仓集中度目标</x:v>
      </x:c>
      <x:c r="D3" s="29" t="str">
        <x:v>达到/超过时仍可一票否决新增</x:v>
      </x:c>
    </x:row>
    <x:row r="4">
      <x:c r="A4" s="29" t="str">
        <x:v>年度配置</x:v>
      </x:c>
      <x:c r="B4" s="29" t="str">
        <x:v>资金缺口</x:v>
      </x:c>
      <x:c r="C4" s="29" t="str">
        <x:v>动态目标金额减当前映射金额</x:v>
      </x:c>
      <x:c r="D4" s="29" t="str">
        <x:v>不是买入信号</x:v>
      </x:c>
    </x:row>
    <x:row r="5">
      <x:c r="A5" s="29" t="str">
        <x:v>质量准入</x:v>
      </x:c>
      <x:c r="B5" s="29" t="str">
        <x:v>完整评分</x:v>
      </x:c>
      <x:c r="C5" s="29" t="str">
        <x:v>ETF/个股需完整10分评分与证据</x:v>
      </x:c>
      <x:c r="D5" s="29" t="str">
        <x:v>缺失时禁止新增</x:v>
      </x:c>
    </x:row>
    <x:row r="6">
      <x:c r="A6" s="29" t="str">
        <x:v>买点过滤</x:v>
      </x:c>
      <x:c r="B6" s="29" t="str">
        <x:v>标准首批</x:v>
      </x:c>
      <x:c r="C6" s="29" t="str">
        <x:v>六项通过至少5项且无否决</x:v>
      </x:c>
      <x:c r="D6" s="29" t="str">
        <x:v>仅进入复核</x:v>
      </x:c>
    </x:row>
    <x:row r="7">
      <x:c r="A7" s="29" t="str">
        <x:v>情绪纪律</x:v>
      </x:c>
      <x:c r="B7" s="29" t="str">
        <x:v>4级及以上</x:v>
      </x:c>
      <x:c r="C7" s="29" t="str">
        <x:v>火热/狂热</x:v>
      </x:c>
      <x:c r="D7" s="29" t="str">
        <x:v>暂停新增</x:v>
      </x:c>
    </x:row>
    <x:row r="8">
      <x:c r="A8" s="29" t="str">
        <x:v>执行纪律</x:v>
      </x:c>
      <x:c r="B8" s="29" t="str">
        <x:v>单日上限</x:v>
      </x:c>
      <x:c r="C8" s="29" t="str">
        <x:v>一个买入方向+两个卖出/减仓方向</x:v>
      </x:c>
      <x:c r="D8" s="29" t="str">
        <x:v>系统性风险日只做风控</x:v>
      </x:c>
    </x:row>
  </x:sheetData>
  <x:pageMargins left="0.7" right="0.7" top="0.75" bottom="0.75" header="0.3" footer="0.3"/>
  <x:tableParts count="1">
    <x:tablePart xmlns:r="http://schemas.openxmlformats.org/officeDocument/2006/relationships" r:id="Rff59163479fe47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6" hidden="0" customWidth="1"/>
    <x:col min="5" max="5" width="28" hidden="0" customWidth="1"/>
    <x:col min="6" max="6" width="48" hidden="0" customWidth="1"/>
    <x:col min="8" max="8" width="30" hidden="0" customWidth="1"/>
    <x:col min="9" max="9" width="16" hidden="0" customWidth="1"/>
    <x:col min="10" max="10" width="16" hidden="0" customWidth="1"/>
  </x:cols>
  <x:sheetData>
    <x:row r="1">
      <x:c r="A1" s="6" t="str">
        <x:v>数据项</x:v>
      </x:c>
      <x:c r="B1" s="6" t="str">
        <x:v>值/范围</x:v>
      </x:c>
      <x:c r="C1" s="6" t="str">
        <x:v>单位</x:v>
      </x:c>
      <x:c r="D1" s="6" t="str">
        <x:v>截至日期</x:v>
      </x:c>
      <x:c r="E1" s="6" t="str">
        <x:v>来源</x:v>
      </x:c>
      <x:c r="F1" s="6" t="str">
        <x:v>备注</x:v>
      </x:c>
      <x:c r="H1" s="6" t="str">
        <x:v>配置项</x:v>
      </x:c>
      <x:c r="I1" s="6" t="str">
        <x:v>当前金额</x:v>
      </x:c>
      <x:c r="J1" s="6" t="str">
        <x:v>动态目标</x:v>
      </x:c>
    </x:row>
    <x:row r="2">
      <x:c r="A2" s="29" t="str">
        <x:v>当前全资产总额</x:v>
      </x:c>
      <x:c r="B2" s="29" t="n">
        <x:v>4783000</x:v>
      </x:c>
      <x:c r="C2" s="29" t="str">
        <x:v>元</x:v>
      </x:c>
      <x:c r="D2" s="29" t="str">
        <x:v>持仓截图日期</x:v>
      </x:c>
      <x:c r="E2" s="29" t="str">
        <x:v>positions.csv</x:v>
      </x:c>
      <x:c r="F2" s="29" t="str">
        <x:v>用于动态重算年度目标金额</x:v>
      </x:c>
      <x:c r="H2" t="str">
        <x:v>半导体设备ETF 159516</x:v>
      </x:c>
      <x:c r="I2" s="30" t="n">
        <x:f>Allocation!H2</x:f>
        <x:v>60640</x:v>
      </x:c>
      <x:c r="J2" s="30" t="n">
        <x:f>Allocation!G2</x:f>
        <x:v>382640</x:v>
      </x:c>
    </x:row>
    <x:row r="3">
      <x:c r="A3" s="29" t="str">
        <x:v>证券账户总市值</x:v>
      </x:c>
      <x:c r="B3" s="29" t="n">
        <x:v>779034.22</x:v>
      </x:c>
      <x:c r="C3" s="29" t="str">
        <x:v>元</x:v>
      </x:c>
      <x:c r="D3" s="29" t="str">
        <x:v>持仓截图日期</x:v>
      </x:c>
      <x:c r="E3" s="29" t="str">
        <x:v>positions.csv</x:v>
      </x:c>
      <x:c r="F3" s="29" t="str">
        <x:v>用于持仓勾稽</x:v>
      </x:c>
      <x:c r="H3" t="str">
        <x:v>机器人ETF 562500</x:v>
      </x:c>
      <x:c r="I3" s="30" t="n">
        <x:f>Allocation!H3</x:f>
        <x:v>139459.2</x:v>
      </x:c>
      <x:c r="J3" s="30" t="n">
        <x:f>Allocation!G3</x:f>
        <x:v>382640</x:v>
      </x:c>
    </x:row>
    <x:row r="4">
      <x:c r="A4" s="29" t="str">
        <x:v>第一年配置比例</x:v>
      </x:c>
      <x:c r="B4" s="29" t="str">
        <x:v>58%</x:v>
      </x:c>
      <x:c r="C4" s="29" t="str">
        <x:v>%</x:v>
      </x:c>
      <x:c r="D4" s="29" t="str">
        <x:v>来源未标注</x:v>
      </x:c>
      <x:c r="E4" s="29" t="str">
        <x:v>1st年配置表.xlsx</x:v>
      </x:c>
      <x:c r="F4" s="29" t="str">
        <x:v>其余42%需保留为未配置/现金/防御空间</x:v>
      </x:c>
      <x:c r="H4" t="str">
        <x:v>创业板人工智能ETF 159381</x:v>
      </x:c>
      <x:c r="I4" s="30" t="n">
        <x:f>Allocation!H4</x:f>
        <x:v>21675</x:v>
      </x:c>
      <x:c r="J4" s="30" t="n">
        <x:f>Allocation!G4</x:f>
        <x:v>286980</x:v>
      </x:c>
    </x:row>
    <x:row r="5">
      <x:c r="A5" s="29" t="str">
        <x:v>目标收益区间</x:v>
      </x:c>
      <x:c r="B5" s="29" t="str">
        <x:v>5%-35%</x:v>
      </x:c>
      <x:c r="C5" s="29" t="str">
        <x:v>%</x:v>
      </x:c>
      <x:c r="D5" s="29" t="str">
        <x:v>来源未标注</x:v>
      </x:c>
      <x:c r="E5" s="29" t="str">
        <x:v>1st年配置表.xlsx</x:v>
      </x:c>
      <x:c r="F5" s="29" t="str">
        <x:v>观察区间，不是收益承诺</x:v>
      </x:c>
      <x:c r="H5" t="str">
        <x:v>创新药ETF</x:v>
      </x:c>
      <x:c r="I5" s="30" t="n">
        <x:f>Allocation!H5</x:f>
        <x:v>0</x:v>
      </x:c>
      <x:c r="J5" s="30" t="n">
        <x:f>Allocation!G5</x:f>
        <x:v>95660</x:v>
      </x:c>
    </x:row>
    <x:row r="6">
      <x:c r="A6" s="29" t="str">
        <x:v>映射与约束</x:v>
      </x:c>
      <x:c r="B6" s="29" t="str">
        <x:v>11项配置</x:v>
      </x:c>
      <x:c r="C6" s="29" t="str">
        <x:v>项</x:v>
      </x:c>
      <x:c r="D6" s="29" t="str">
        <x:v>本次优化</x:v>
      </x:c>
      <x:c r="E6" s="29" t="str">
        <x:v>first_year_allocation.csv</x:v>
      </x:c>
      <x:c r="F6" s="29" t="str">
        <x:v>维护代码映射与执行约束</x:v>
      </x:c>
      <x:c r="H6" t="str">
        <x:v>比亚迪+绿电+储能</x:v>
      </x:c>
      <x:c r="I6" s="30" t="n">
        <x:f>Allocation!H6</x:f>
        <x:v>191942.4</x:v>
      </x:c>
      <x:c r="J6" s="30" t="n">
        <x:f>Allocation!G6</x:f>
        <x:v>143490</x:v>
      </x:c>
    </x:row>
    <x:row r="7">
      <x:c r="H7" t="str">
        <x:v>云计算ETF</x:v>
      </x:c>
      <x:c r="I7" s="30" t="n">
        <x:f>Allocation!H7</x:f>
        <x:v>63344</x:v>
      </x:c>
      <x:c r="J7" s="30" t="n">
        <x:f>Allocation!G7</x:f>
        <x:v>143490</x:v>
      </x:c>
    </x:row>
    <x:row r="8">
      <x:c r="H8" t="str">
        <x:v>中证A500ETF</x:v>
      </x:c>
      <x:c r="I8" s="30" t="n">
        <x:f>Allocation!H8</x:f>
        <x:v>109274.2</x:v>
      </x:c>
      <x:c r="J8" s="30" t="n">
        <x:f>Allocation!G8</x:f>
        <x:v>382640</x:v>
      </x:c>
    </x:row>
    <x:row r="9">
      <x:c r="H9" t="str">
        <x:v>红利低波ETF</x:v>
      </x:c>
      <x:c r="I9" s="30" t="n">
        <x:f>Allocation!H9</x:f>
        <x:v>42370</x:v>
      </x:c>
      <x:c r="J9" s="30" t="n">
        <x:f>Allocation!G9</x:f>
        <x:v>239150</x:v>
      </x:c>
    </x:row>
    <x:row r="10">
      <x:c r="H10" t="str">
        <x:v>可转债ETF</x:v>
      </x:c>
      <x:c r="I10" s="30" t="n">
        <x:f>Allocation!H10</x:f>
        <x:v>38499</x:v>
      </x:c>
      <x:c r="J10" s="30" t="n">
        <x:f>Allocation!G10</x:f>
        <x:v>478300</x:v>
      </x:c>
    </x:row>
    <x:row r="11">
      <x:c r="H11" t="str">
        <x:v>战术机会仓</x:v>
      </x:c>
      <x:c r="I11" s="30" t="n">
        <x:f>Allocation!H11</x:f>
        <x:v>0</x:v>
      </x:c>
      <x:c r="J11" s="30" t="n">
        <x:f>Allocation!G11</x:f>
        <x:v>143490</x:v>
      </x:c>
    </x:row>
    <x:row r="12">
      <x:c r="H12" t="str">
        <x:v>AI/半导体高质量个股篮子</x:v>
      </x:c>
      <x:c r="I12" s="30" t="n">
        <x:f>Allocation!H12</x:f>
        <x:v>0</x:v>
      </x:c>
      <x:c r="J12" s="30" t="n">
        <x:f>Allocation!G12</x:f>
        <x:v>95660</x:v>
      </x:c>
    </x:row>
  </x:sheetData>
  <x:pageMargins left="0.7" right="0.7" top="0.75" bottom="0.75" header="0.3" footer="0.3"/>
  <x:tableParts count="1">
    <x:tablePart xmlns:r="http://schemas.openxmlformats.org/officeDocument/2006/relationships" r:id="Rb7ca396181054ae4"/>
  </x:tableParts>
</x:worksheet>
</file>