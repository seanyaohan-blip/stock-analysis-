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https://d.docs.live.net/4b7b6eadd1e42ece/V284_ETF_Dashboard/"/>
    </mc:Choice>
  </mc:AlternateContent>
  <xr:revisionPtr revIDLastSave="9" documentId="11_BBF94670759AE7BCCFE5897FA34393B056EEA7F4" xr6:coauthVersionLast="47" xr6:coauthVersionMax="47" xr10:uidLastSave="{A286E7CA-8735-4644-BCFF-3F51A1DD4EDE}"/>
  <bookViews>
    <workbookView xWindow="0" yWindow="680" windowWidth="29400" windowHeight="17300" activeTab="4" xr2:uid="{00000000-000D-0000-FFFF-FFFF00000000}"/>
  </bookViews>
  <sheets>
    <sheet name="Decision_Center" sheetId="1" r:id="rId1"/>
    <sheet name="Dashboard" sheetId="2" r:id="rId2"/>
    <sheet name="FirstYear_Allocation" sheetId="3" r:id="rId3"/>
    <sheet name="Execution_Plan" sheetId="4" r:id="rId4"/>
    <sheet name="Checks" sheetId="5" r:id="rId5"/>
    <sheet name="Framework_Rules" sheetId="6" r:id="rId6"/>
    <sheet name="Double_Anchor" sheetId="7" r:id="rId7"/>
    <sheet name="Emotion" sheetId="8" r:id="rId8"/>
    <sheet name="Quality_Score" sheetId="9" r:id="rId9"/>
    <sheet name="Exposure" sheetId="10" r:id="rId10"/>
    <sheet name="Market_Data" sheetId="11" r:id="rId11"/>
    <sheet name="Buy_Filter" sheetId="12" r:id="rId12"/>
    <sheet name="Positions" sheetId="13" r:id="rId13"/>
    <sheet name="Positions_Action" sheetId="14" r:id="rId14"/>
    <sheet name="Broker_Snapshot" sheetId="15" r:id="rId15"/>
    <sheet name="Watchlist" sheetId="16" r:id="rId16"/>
    <sheet name="使用说明" sheetId="17" r:id="rId17"/>
  </sheets>
  <definedNames>
    <definedName name="_xlnm._FilterDatabase" localSheetId="14" hidden="1">Broker_Snapshot!$A$1:$W$14</definedName>
    <definedName name="_xlnm._FilterDatabase" localSheetId="11" hidden="1">Buy_Filter!$A$1:$AJ$20</definedName>
    <definedName name="_xlnm._FilterDatabase" localSheetId="4" hidden="1">Checks!$A$1:$G$11</definedName>
    <definedName name="_xlnm._FilterDatabase" localSheetId="1" hidden="1">Dashboard!$A$1:$B$46</definedName>
    <definedName name="_xlnm._FilterDatabase" localSheetId="0" hidden="1">Decision_Center!$A$1:$D$10</definedName>
    <definedName name="_xlnm._FilterDatabase" localSheetId="6" hidden="1">Double_Anchor!$A$1:$I$9</definedName>
    <definedName name="_xlnm._FilterDatabase" localSheetId="7" hidden="1">Emotion!$A$1:$F$8</definedName>
    <definedName name="_xlnm._FilterDatabase" localSheetId="3" hidden="1">Execution_Plan!$A$1:$L$3</definedName>
    <definedName name="_xlnm._FilterDatabase" localSheetId="9" hidden="1">Exposure!$A$1:$T$20</definedName>
    <definedName name="_xlnm._FilterDatabase" localSheetId="2" hidden="1">FirstYear_Allocation!$A$1:$S$12</definedName>
    <definedName name="_xlnm._FilterDatabase" localSheetId="5" hidden="1">Framework_Rules!$A$1:$D$27</definedName>
    <definedName name="_xlnm._FilterDatabase" localSheetId="10" hidden="1">Market_Data!$A$1:$AA$21</definedName>
    <definedName name="_xlnm._FilterDatabase" localSheetId="12" hidden="1">Positions!$A$1:$AC$14</definedName>
    <definedName name="_xlnm._FilterDatabase" localSheetId="13" hidden="1">Positions_Action!$A$1:$T$14</definedName>
    <definedName name="_xlnm._FilterDatabase" localSheetId="8" hidden="1">Quality_Score!$A$1:$R$20</definedName>
    <definedName name="_xlnm._FilterDatabase" localSheetId="15" hidden="1">Watchlist!$A$1:$AB$20</definedName>
    <definedName name="_xlnm._FilterDatabase" localSheetId="16" hidden="1">使用说明!$A$1:$C$10</definedName>
  </definedNames>
  <calcPr calcId="0"/>
</workbook>
</file>

<file path=xl/sharedStrings.xml><?xml version="1.0" encoding="utf-8"?>
<sst xmlns="http://schemas.openxmlformats.org/spreadsheetml/2006/main" count="1995" uniqueCount="613">
  <si>
    <t>层级</t>
  </si>
  <si>
    <t>状态</t>
  </si>
  <si>
    <t>证据</t>
  </si>
  <si>
    <t>动作</t>
  </si>
  <si>
    <t>市场权限</t>
  </si>
  <si>
    <t>暂停标准新增</t>
  </si>
  <si>
    <t>双锚=观察；情绪温度=1</t>
  </si>
  <si>
    <t>不满足双绿或黄绿条件，继续观察</t>
  </si>
  <si>
    <t>标准首批</t>
  </si>
  <si>
    <t>0只</t>
  </si>
  <si>
    <t>买点通过≥5项、无否决、质量与仓位门槛通过</t>
  </si>
  <si>
    <t>仅在标准首批候选中复核</t>
  </si>
  <si>
    <t>半额首批</t>
  </si>
  <si>
    <t>买点通过4项、无否决</t>
  </si>
  <si>
    <t>最多半额首批，且不得跨越剩余额度</t>
  </si>
  <si>
    <t>质量准入</t>
  </si>
  <si>
    <t>0只通过 / 14只待补</t>
  </si>
  <si>
    <t>部分代理分不折算为完整10分</t>
  </si>
  <si>
    <t>缺少完整评分与证据时禁止新增</t>
  </si>
  <si>
    <t>第一年配置</t>
  </si>
  <si>
    <t>完成24.1%</t>
  </si>
  <si>
    <t>全资产目标58%；当前13.9%；缺口2,106,936元</t>
  </si>
  <si>
    <t>年度缺口是长期上限，不替代质量、买点和证券账户集中度约束</t>
  </si>
  <si>
    <t>情绪纪律</t>
  </si>
  <si>
    <t>1级·低（观察池代理）</t>
  </si>
  <si>
    <t>允许重视，可按买点纪律建仓</t>
  </si>
  <si>
    <t>温度≥4暂停新增；低可靠性不得视为全市场结论</t>
  </si>
  <si>
    <t>持仓风控</t>
  </si>
  <si>
    <t>1项触发</t>
  </si>
  <si>
    <t>仓位、专项纪律与退出条件</t>
  </si>
  <si>
    <t>风控 &gt; 清旧 &gt; 补新 &gt; 再平衡</t>
  </si>
  <si>
    <t>执行上限</t>
  </si>
  <si>
    <t>单日最多3类动作</t>
  </si>
  <si>
    <t>一个买入方向 + 两个卖出/减仓方向</t>
  </si>
  <si>
    <t>系统性风险日只执行风控</t>
  </si>
  <si>
    <t>数据边界</t>
  </si>
  <si>
    <t>条件式</t>
  </si>
  <si>
    <t>ETF份额、IOPV、龙头同步、次日验证、个股财务/估值未全量接入</t>
  </si>
  <si>
    <t>缺失项不得被代理数据自动判绿</t>
  </si>
  <si>
    <t>项目</t>
  </si>
  <si>
    <t>内容</t>
  </si>
  <si>
    <t>版本</t>
  </si>
  <si>
    <t>V2.8.5 ETF / A股统一投资决策仪表盘</t>
  </si>
  <si>
    <t>生成时间</t>
  </si>
  <si>
    <t>2026-06-19 12:03:25</t>
  </si>
  <si>
    <t>行情数据时间</t>
  </si>
  <si>
    <t>未取到当日接口时间</t>
  </si>
  <si>
    <t>行情来源统计</t>
  </si>
  <si>
    <t>券商截图:20</t>
  </si>
  <si>
    <t>说明</t>
  </si>
  <si>
    <t>本程序只做纪律提醒，不连接券商、不下单、不自动交易。</t>
  </si>
  <si>
    <t>双锚综合</t>
  </si>
  <si>
    <t>观察</t>
  </si>
  <si>
    <t>情绪温度</t>
  </si>
  <si>
    <t>情绪数据可靠性</t>
  </si>
  <si>
    <t>低（观察池代理）</t>
  </si>
  <si>
    <t>标准首批候选数</t>
  </si>
  <si>
    <t>半额首批复核数</t>
  </si>
  <si>
    <t>质量门槛可用标的数</t>
  </si>
  <si>
    <t>质量评分待补标的数</t>
  </si>
  <si>
    <t>第一年配置目标占比</t>
  </si>
  <si>
    <t>第一年当前已配置占比</t>
  </si>
  <si>
    <t>第一年配置完成率</t>
  </si>
  <si>
    <t>第一年动态目标金额</t>
  </si>
  <si>
    <t>第一年当前映射金额</t>
  </si>
  <si>
    <t>第一年资金缺口</t>
  </si>
  <si>
    <t>第一年未配置目标占比</t>
  </si>
  <si>
    <t>证券账户总资产</t>
  </si>
  <si>
    <t>全资产总额</t>
  </si>
  <si>
    <t>券商截图总市值</t>
  </si>
  <si>
    <t>券商截图今日盈亏</t>
  </si>
  <si>
    <t>券商截图持仓收益</t>
  </si>
  <si>
    <t>券商截图可用资金</t>
  </si>
  <si>
    <t>券商截图可取资金</t>
  </si>
  <si>
    <t>券商截图总仓位</t>
  </si>
  <si>
    <t>全资产权益穿透仓位</t>
  </si>
  <si>
    <t>证券账户可用现金比例</t>
  </si>
  <si>
    <t>全资产流动性安全垫代理</t>
  </si>
  <si>
    <t>其中：证券可用现金</t>
  </si>
  <si>
    <t>其中：国债ETF市值</t>
  </si>
  <si>
    <t>现金安全垫最低值</t>
  </si>
  <si>
    <t>现金安全垫目标值</t>
  </si>
  <si>
    <t>现金安全垫状态</t>
  </si>
  <si>
    <t>达标</t>
  </si>
  <si>
    <t>未取到行情数量</t>
  </si>
  <si>
    <t>仓位/纪律提醒数量</t>
  </si>
  <si>
    <t>提醒-002594</t>
  </si>
  <si>
    <t>当前仓位 9.33% 高于目标 5.00%</t>
  </si>
  <si>
    <t>提醒-159338</t>
  </si>
  <si>
    <t>当前仓位 7.02% 高于目标 6.00%</t>
  </si>
  <si>
    <t>提醒-516630</t>
  </si>
  <si>
    <t>当前仓位 6.06% 高于目标 3.00%</t>
  </si>
  <si>
    <t>提醒-159516</t>
  </si>
  <si>
    <t>当前仓位 5.80% 高于目标 5.00%</t>
  </si>
  <si>
    <t>提醒-511010</t>
  </si>
  <si>
    <t>当前仓位 5.41% 高于目标 4.00%</t>
  </si>
  <si>
    <t>提醒-688083</t>
  </si>
  <si>
    <t>当前仓位 5.29% 高于目标 2.00%</t>
  </si>
  <si>
    <t>提醒-562550</t>
  </si>
  <si>
    <t>当前仓位 4.56% 高于目标 3.00%</t>
  </si>
  <si>
    <t>提醒-159566</t>
  </si>
  <si>
    <t>当前仓位 4.48% 高于目标 2.00%</t>
  </si>
  <si>
    <t>配置键</t>
  </si>
  <si>
    <t>配置项</t>
  </si>
  <si>
    <t>资产层级</t>
  </si>
  <si>
    <t>映射代码</t>
  </si>
  <si>
    <t>年度目标占比</t>
  </si>
  <si>
    <t>配置表目标金额</t>
  </si>
  <si>
    <t>按当前全资产目标金额</t>
  </si>
  <si>
    <t>最新持仓金额</t>
  </si>
  <si>
    <t>配置表当前金额约</t>
  </si>
  <si>
    <t>年度资金缺口</t>
  </si>
  <si>
    <t>年度完成率</t>
  </si>
  <si>
    <t>当前全资产占比</t>
  </si>
  <si>
    <t>目标收益下限</t>
  </si>
  <si>
    <t>目标收益上限</t>
  </si>
  <si>
    <t>配置状态</t>
  </si>
  <si>
    <t>进度状态</t>
  </si>
  <si>
    <t>执行约束</t>
  </si>
  <si>
    <t>来源</t>
  </si>
  <si>
    <t>来源日期</t>
  </si>
  <si>
    <t>semiconductor</t>
  </si>
  <si>
    <t>半导体设备ETF 159516</t>
  </si>
  <si>
    <t>第一核心成长</t>
  </si>
  <si>
    <t>159516</t>
  </si>
  <si>
    <t>按分析结果调整</t>
  </si>
  <si>
    <t>配置中</t>
  </si>
  <si>
    <t>完整质量评分+双锚+情绪+六项买点+证券账户上限</t>
  </si>
  <si>
    <t>1st年配置表.xlsx</t>
  </si>
  <si>
    <t>原表未标注</t>
  </si>
  <si>
    <t>robotics</t>
  </si>
  <si>
    <t>机器人ETF 562500</t>
  </si>
  <si>
    <t>核心成长</t>
  </si>
  <si>
    <t>562500</t>
  </si>
  <si>
    <t>完整质量评分+持有不加纪律+证券账户上限</t>
  </si>
  <si>
    <t>chinext_ai</t>
  </si>
  <si>
    <t>创业板人工智能ETF 159381</t>
  </si>
  <si>
    <t>159381</t>
  </si>
  <si>
    <t>innovative_medicine</t>
  </si>
  <si>
    <t>创新药ETF</t>
  </si>
  <si>
    <t>核心观察</t>
  </si>
  <si>
    <t>588700</t>
  </si>
  <si>
    <t>待建仓</t>
  </si>
  <si>
    <t>四证据模型+价格提醒后二次确认+证券账户上限</t>
  </si>
  <si>
    <t>new_energy_legacy</t>
  </si>
  <si>
    <t>比亚迪+绿电+储能</t>
  </si>
  <si>
    <t>非核心成长保留</t>
  </si>
  <si>
    <t>002594、562550、159566</t>
  </si>
  <si>
    <t>达到或超过年度目标</t>
  </si>
  <si>
    <t>遗留仓不加仓；以压降和结构优化为主</t>
  </si>
  <si>
    <t>cloud_transition</t>
  </si>
  <si>
    <t>云计算ETF</t>
  </si>
  <si>
    <t>观察/过渡仓</t>
  </si>
  <si>
    <t>516630</t>
  </si>
  <si>
    <t>战术仓纪律+完整质量评分+证券账户上限</t>
  </si>
  <si>
    <t>a500_low_vol</t>
  </si>
  <si>
    <t>中证A500ETF</t>
  </si>
  <si>
    <t>低波权益</t>
  </si>
  <si>
    <t>159338、510210</t>
  </si>
  <si>
    <t>宽基合并统计；避免A500与上证ETF重复暴露</t>
  </si>
  <si>
    <t>dividend_low_vol</t>
  </si>
  <si>
    <t>红利低波ETF</t>
  </si>
  <si>
    <t>512890</t>
  </si>
  <si>
    <t>不计入现金安全垫；遵守买点与账户上限</t>
  </si>
  <si>
    <t>convertible_bond</t>
  </si>
  <si>
    <t>可转债ETF</t>
  </si>
  <si>
    <t>弹性低波</t>
  </si>
  <si>
    <t>511180</t>
  </si>
  <si>
    <t>不计入现金安全垫；分批配置</t>
  </si>
  <si>
    <t>tactical_opportunity</t>
  </si>
  <si>
    <t>战术机会仓</t>
  </si>
  <si>
    <t>战术仓</t>
  </si>
  <si>
    <t>待选</t>
  </si>
  <si>
    <t>待选择合格标的</t>
  </si>
  <si>
    <t>单日仅一个买入方向；严格止损与退出</t>
  </si>
  <si>
    <t>quality_stock_basket</t>
  </si>
  <si>
    <t>AI/半导体高质量个股篮子</t>
  </si>
  <si>
    <t>战略成长</t>
  </si>
  <si>
    <t>个股质量评分≥8；单股穿透与止损上限</t>
  </si>
  <si>
    <t>优先级</t>
  </si>
  <si>
    <t>动作类型</t>
  </si>
  <si>
    <t>标的</t>
  </si>
  <si>
    <t>主题</t>
  </si>
  <si>
    <t>是否占用额度</t>
  </si>
  <si>
    <t>动作预算</t>
  </si>
  <si>
    <t>依据</t>
  </si>
  <si>
    <t>年度配置项</t>
  </si>
  <si>
    <t>年度全资产目标</t>
  </si>
  <si>
    <t>风控/减仓复核</t>
  </si>
  <si>
    <t>上证ETF(510210)</t>
  </si>
  <si>
    <t>防御/宽基</t>
  </si>
  <si>
    <t>是</t>
  </si>
  <si>
    <t>最多2个卖出/减仓方向</t>
  </si>
  <si>
    <t>上证ETF属于宽基重复，价格进入1.01-1.03元纪律区间</t>
  </si>
  <si>
    <t>优先处理</t>
  </si>
  <si>
    <t>比亚迪(002594)</t>
  </si>
  <si>
    <t>新能源/绿电</t>
  </si>
  <si>
    <t>证券账户仓位9.33%，超过目标5.00%</t>
  </si>
  <si>
    <t>检查项</t>
  </si>
  <si>
    <t>实际</t>
  </si>
  <si>
    <t>期望</t>
  </si>
  <si>
    <t>差异</t>
  </si>
  <si>
    <t>容差</t>
  </si>
  <si>
    <t>修复建议</t>
  </si>
  <si>
    <t>持仓市值合计</t>
  </si>
  <si>
    <t>OK</t>
  </si>
  <si>
    <t>核对截图总市值与各持仓市值</t>
  </si>
  <si>
    <t>持仓权重合计</t>
  </si>
  <si>
    <t>单只权重四舍五入可能产生小差异</t>
  </si>
  <si>
    <t>行情完整性</t>
  </si>
  <si>
    <t>检查</t>
  </si>
  <si>
    <t>重新运行或核对缺失代码</t>
  </si>
  <si>
    <t>观察池重复代码</t>
  </si>
  <si>
    <t>删除重复观察项</t>
  </si>
  <si>
    <t>持仓重复代码</t>
  </si>
  <si>
    <t>合并重复持仓</t>
  </si>
  <si>
    <t>质量评分缺失</t>
  </si>
  <si>
    <t>待补</t>
  </si>
  <si>
    <t>在watchlist.csv填写完整评分与证据；缺失时不得新增</t>
  </si>
  <si>
    <t>全资产口径</t>
  </si>
  <si>
    <t>&gt;=证券账户总资产</t>
  </si>
  <si>
    <t>核对total_assets与account_total口径</t>
  </si>
  <si>
    <t>第一年目标比例合计</t>
  </si>
  <si>
    <t>&lt;=100%</t>
  </si>
  <si>
    <t>配置表当前规划58%，其余应明确为现金/防御/未配置</t>
  </si>
  <si>
    <t>配置表当前金额复核</t>
  </si>
  <si>
    <t>来源表金额以万元四舍五入；差异过大时核对代码映射</t>
  </si>
  <si>
    <t>年度配置代码重复映射</t>
  </si>
  <si>
    <t>同一持仓不得重复计入多个年度配置项</t>
  </si>
  <si>
    <t>规则模块</t>
  </si>
  <si>
    <t>规则</t>
  </si>
  <si>
    <t>阈值/定义</t>
  </si>
  <si>
    <t>核心候选</t>
  </si>
  <si>
    <t>完整评分 ≥ 8</t>
  </si>
  <si>
    <t>V2.8.5 第三部分</t>
  </si>
  <si>
    <t>观察候选</t>
  </si>
  <si>
    <t>6 ≤ 完整评分 &lt; 8</t>
  </si>
  <si>
    <t>禁止新增</t>
  </si>
  <si>
    <t>完整评分 &lt; 6；或缺少完整评分/证据</t>
  </si>
  <si>
    <t>买点过滤</t>
  </si>
  <si>
    <t>六项中通过 ≥ 5，且无一票否决</t>
  </si>
  <si>
    <t>V2.8.5 第六部分</t>
  </si>
  <si>
    <t>六项中通过 = 4，且无一票否决</t>
  </si>
  <si>
    <t>暂停新增</t>
  </si>
  <si>
    <t>情绪温度 ≥ 4</t>
  </si>
  <si>
    <t>V2.8.5 第八部分</t>
  </si>
  <si>
    <t>执行纪律</t>
  </si>
  <si>
    <t>单日动作上限</t>
  </si>
  <si>
    <t>V2.8.4/V2.8.5</t>
  </si>
  <si>
    <t>现金安全垫</t>
  </si>
  <si>
    <t>最低值</t>
  </si>
  <si>
    <t>300,000元</t>
  </si>
  <si>
    <t>V2.8.4 第十三部分</t>
  </si>
  <si>
    <t>目标值</t>
  </si>
  <si>
    <t>500,000元</t>
  </si>
  <si>
    <t>产业链簇上限</t>
  </si>
  <si>
    <t>半导体/芯片设备</t>
  </si>
  <si>
    <t>≤ 18%</t>
  </si>
  <si>
    <t>V2.8.5 第四部分</t>
  </si>
  <si>
    <t>AI算力/云计算</t>
  </si>
  <si>
    <t>≤ 15%</t>
  </si>
  <si>
    <t>机器人/自动化</t>
  </si>
  <si>
    <t>≤ 25%</t>
  </si>
  <si>
    <t>创新药/生物医药</t>
  </si>
  <si>
    <t>科技成长合计</t>
  </si>
  <si>
    <t>≤ 45%</t>
  </si>
  <si>
    <t>第一年全资产配置</t>
  </si>
  <si>
    <t>目标8%；收益观察区间20%-30%</t>
  </si>
  <si>
    <t>1st年配置表.xlsx；缺口不是买入信号</t>
  </si>
  <si>
    <t>目标8%；收益观察区间18%-25%</t>
  </si>
  <si>
    <t>目标6%；收益观察区间20%-30%</t>
  </si>
  <si>
    <t>目标2%；收益观察区间15%-25%</t>
  </si>
  <si>
    <t>目标3%；收益观察区间8%-15%</t>
  </si>
  <si>
    <t>目标8%；收益观察区间6%-10%</t>
  </si>
  <si>
    <t>目标5%；收益观察区间5%-8%</t>
  </si>
  <si>
    <t>目标10%；收益观察区间6%-10%</t>
  </si>
  <si>
    <t>目标3%；收益观察区间15%-30%</t>
  </si>
  <si>
    <t>目标2%；收益观察区间25%-35%</t>
  </si>
  <si>
    <t>锚点</t>
  </si>
  <si>
    <t>Code</t>
  </si>
  <si>
    <t>指数名称</t>
  </si>
  <si>
    <t>最新价</t>
  </si>
  <si>
    <t>涨跌幅</t>
  </si>
  <si>
    <t>当日最低</t>
  </si>
  <si>
    <t>昨日低点</t>
  </si>
  <si>
    <t>灯号</t>
  </si>
  <si>
    <t>总量锚</t>
  </si>
  <si>
    <t>000001.SH</t>
  </si>
  <si>
    <t>上证综指</t>
  </si>
  <si>
    <t>待确认</t>
  </si>
  <si>
    <t>缺少最新价或涨跌幅，无法判灯</t>
  </si>
  <si>
    <t>000300.SH</t>
  </si>
  <si>
    <t>沪深300</t>
  </si>
  <si>
    <t>000510.CSI</t>
  </si>
  <si>
    <t>中证A500</t>
  </si>
  <si>
    <t>成长锚</t>
  </si>
  <si>
    <t>000688.SH</t>
  </si>
  <si>
    <t>科创50</t>
  </si>
  <si>
    <t>399006.SZ</t>
  </si>
  <si>
    <t>创业板指</t>
  </si>
  <si>
    <t>总量锚综合</t>
  </si>
  <si>
    <t>上证综指 / 沪深300 / 中证A500</t>
  </si>
  <si>
    <t>总量锚观察：上证综指、沪深300、中证A500</t>
  </si>
  <si>
    <t>成长锚综合</t>
  </si>
  <si>
    <t>科创50 / 创业板指</t>
  </si>
  <si>
    <t>成长锚观察：科创50、创业板指</t>
  </si>
  <si>
    <t>综合灯号</t>
  </si>
  <si>
    <t>指标</t>
  </si>
  <si>
    <t>数值</t>
  </si>
  <si>
    <t>解释</t>
  </si>
  <si>
    <t>可靠性</t>
  </si>
  <si>
    <t>冰点</t>
  </si>
  <si>
    <t>观察池涨跌与成交节奏</t>
  </si>
  <si>
    <t>观察池代理温度</t>
  </si>
  <si>
    <t>仅用于提示，不代表全市场</t>
  </si>
  <si>
    <t>低</t>
  </si>
  <si>
    <t>观察池</t>
  </si>
  <si>
    <t>上涨广度</t>
  </si>
  <si>
    <t>观察池上涨占比</t>
  </si>
  <si>
    <t>代理指标</t>
  </si>
  <si>
    <t>涨幅≥3%占比</t>
  </si>
  <si>
    <t>短线热度</t>
  </si>
  <si>
    <t>涨跌幅中位数</t>
  </si>
  <si>
    <t>观察池中枢</t>
  </si>
  <si>
    <t>百分比点</t>
  </si>
  <si>
    <t>时间校正成交节奏</t>
  </si>
  <si>
    <t>相对20日均额</t>
  </si>
  <si>
    <t>已按交易时段折算</t>
  </si>
  <si>
    <t>中</t>
  </si>
  <si>
    <t>行情接口</t>
  </si>
  <si>
    <t>媒体/社区/ETF申赎/两融/涨停热度待补</t>
  </si>
  <si>
    <t>缺失项不参与自动判分</t>
  </si>
  <si>
    <t>提示</t>
  </si>
  <si>
    <t>decision_inputs.csv</t>
  </si>
  <si>
    <t>Name</t>
  </si>
  <si>
    <t>类型</t>
  </si>
  <si>
    <t>可用原始分</t>
  </si>
  <si>
    <t>可用满分</t>
  </si>
  <si>
    <t>折算质量分</t>
  </si>
  <si>
    <t>数据完整度</t>
  </si>
  <si>
    <t>质量状态</t>
  </si>
  <si>
    <t>评分明细</t>
  </si>
  <si>
    <t>年度目标金额</t>
  </si>
  <si>
    <t>年度组内当前金额</t>
  </si>
  <si>
    <t>年度配置状态</t>
  </si>
  <si>
    <t>指数锚点</t>
  </si>
  <si>
    <t>不适用</t>
  </si>
  <si>
    <t>指数不参与质量准入评分</t>
  </si>
  <si>
    <t>代理分不得折算放行；完整人工评分必须同时填写分数与证据</t>
  </si>
  <si>
    <t>其他</t>
  </si>
  <si>
    <t>半导体设备ETF</t>
  </si>
  <si>
    <t>ETF质量评分</t>
  </si>
  <si>
    <t>数据不足，需人工评分</t>
  </si>
  <si>
    <t>代理：纯度3/3；龙头覆盖2/2；流动性0/2；资金认可与规模稳定性待补</t>
  </si>
  <si>
    <t>机器人ETF</t>
  </si>
  <si>
    <t>创业板人工智能ETF</t>
  </si>
  <si>
    <t>代理：纯度2/3；龙头覆盖1/2；流动性0/2；资金认可与规模稳定性待补</t>
  </si>
  <si>
    <t>159819</t>
  </si>
  <si>
    <t>人工智能ETF</t>
  </si>
  <si>
    <t>代理：纯度3/3；龙头覆盖1/2；流动性0/2；资金认可与规模稳定性待补</t>
  </si>
  <si>
    <t>科创生物医药ETF</t>
  </si>
  <si>
    <t>159338</t>
  </si>
  <si>
    <t>511010</t>
  </si>
  <si>
    <t>国债ETF</t>
  </si>
  <si>
    <t>002594</t>
  </si>
  <si>
    <t>比亚迪</t>
  </si>
  <si>
    <t>个股质量评分</t>
  </si>
  <si>
    <t>代理：龙头性1/3；景气0/2；盈利、估值、机构数据待补</t>
  </si>
  <si>
    <t>688083</t>
  </si>
  <si>
    <t>中望软件</t>
  </si>
  <si>
    <t>562550</t>
  </si>
  <si>
    <t>绿电ETF</t>
  </si>
  <si>
    <t>159566</t>
  </si>
  <si>
    <t>储能电池ETF</t>
  </si>
  <si>
    <t>维度</t>
  </si>
  <si>
    <t>分类</t>
  </si>
  <si>
    <t>市值</t>
  </si>
  <si>
    <t>证券账户仓位</t>
  </si>
  <si>
    <t>全资产穿透仓位</t>
  </si>
  <si>
    <t>目标仓位</t>
  </si>
  <si>
    <t>主题上限</t>
  </si>
  <si>
    <t>上限剩余额度</t>
  </si>
  <si>
    <t>上限状态</t>
  </si>
  <si>
    <t>风控口径</t>
  </si>
  <si>
    <t>风险提示</t>
  </si>
  <si>
    <t>组合汇总</t>
  </si>
  <si>
    <t>半导体 + AI + 机器人</t>
  </si>
  <si>
    <t>范围内</t>
  </si>
  <si>
    <t>全资产穿透</t>
  </si>
  <si>
    <t>科技成长全资产穿透上限45%</t>
  </si>
  <si>
    <t>主题汇总</t>
  </si>
  <si>
    <t>AI算力/云计算合计</t>
  </si>
  <si>
    <t>检查产业链簇上限与重复暴露</t>
  </si>
  <si>
    <t>半导体/芯片设备合计</t>
  </si>
  <si>
    <t>新能源/绿电合计</t>
  </si>
  <si>
    <t>机器人/自动化合计</t>
  </si>
  <si>
    <t>防御/宽基合计</t>
  </si>
  <si>
    <t>未设上限</t>
  </si>
  <si>
    <t>明细见主题汇总</t>
  </si>
  <si>
    <t>证券账户 + 全资产穿透</t>
  </si>
  <si>
    <t>持有/观察</t>
  </si>
  <si>
    <t>超目标，考虑减仓</t>
  </si>
  <si>
    <t>510210</t>
  </si>
  <si>
    <t>上证ETF</t>
  </si>
  <si>
    <t>Role</t>
  </si>
  <si>
    <t>Latest</t>
  </si>
  <si>
    <t>PctChg</t>
  </si>
  <si>
    <t>Open</t>
  </si>
  <si>
    <t>High</t>
  </si>
  <si>
    <t>Low</t>
  </si>
  <si>
    <t>PrevClose</t>
  </si>
  <si>
    <t>Amount</t>
  </si>
  <si>
    <t>Avg20Amount</t>
  </si>
  <si>
    <t>Avg20AmountSource</t>
  </si>
  <si>
    <t>ETFShareChg</t>
  </si>
  <si>
    <t>Premium</t>
  </si>
  <si>
    <t>LeaderStatus</t>
  </si>
  <si>
    <t>PrevDayLow</t>
  </si>
  <si>
    <t>PrevDayLowSource</t>
  </si>
  <si>
    <t>QuoteTime</t>
  </si>
  <si>
    <t>DataSource</t>
  </si>
  <si>
    <t>Notes</t>
  </si>
  <si>
    <t>观察仓</t>
  </si>
  <si>
    <t>量能替代：缺少成交额/20日均额</t>
  </si>
  <si>
    <t>折溢价替代：缺少涨跌幅</t>
  </si>
  <si>
    <t>角色替代：观察仓</t>
  </si>
  <si>
    <t>券商截图</t>
  </si>
  <si>
    <t>总量锚；未取到行情</t>
  </si>
  <si>
    <t>成长锚；未取到行情</t>
  </si>
  <si>
    <t>核心成长层</t>
  </si>
  <si>
    <t>角色替代：核心持有（核心成长层）</t>
  </si>
  <si>
    <t>第一核心候选；未取到行情，使用券商截图价格</t>
  </si>
  <si>
    <t>持有不加；未取到行情，使用券商截图价格</t>
  </si>
  <si>
    <t>AI观察仓；未取到行情，使用券商截图价格</t>
  </si>
  <si>
    <t>AI小观察仓；未取到行情</t>
  </si>
  <si>
    <t>角色替代：战术仓</t>
  </si>
  <si>
    <t>泛AI，反弹后降级；未取到行情，使用券商截图价格</t>
  </si>
  <si>
    <t>创新药价格提醒；未取到行情</t>
  </si>
  <si>
    <t>低波权益层</t>
  </si>
  <si>
    <t>角色替代：低波权益层</t>
  </si>
  <si>
    <t>低波权益；未取到行情，使用券商截图价格</t>
  </si>
  <si>
    <t>角色替代：防守资产（低波权益层）</t>
  </si>
  <si>
    <t>弹性低波层</t>
  </si>
  <si>
    <t>角色替代：防守资产（弹性低波层）</t>
  </si>
  <si>
    <t>弹性低波；未取到行情，使用券商截图价格</t>
  </si>
  <si>
    <t>纯防御层</t>
  </si>
  <si>
    <t>角色替代：防守资产（纯防御层）</t>
  </si>
  <si>
    <t>纯防御；未取到行情，使用券商截图价格</t>
  </si>
  <si>
    <t>遗留仓</t>
  </si>
  <si>
    <t>角色替代：遗留仓</t>
  </si>
  <si>
    <t>非核心，反弹减；未取到行情，使用券商截图价格</t>
  </si>
  <si>
    <t>遗留仓，反弹减；未取到行情，使用券商截图价格</t>
  </si>
  <si>
    <t>新能源冗余；未取到行情，使用券商截图价格</t>
  </si>
  <si>
    <t>持仓补充行情；未取到行情，使用券商截图价格</t>
  </si>
  <si>
    <t>买点灯号</t>
  </si>
  <si>
    <t>质量评分</t>
  </si>
  <si>
    <t>反馈状态</t>
  </si>
  <si>
    <t>当前仓位</t>
  </si>
  <si>
    <t>剩余额度</t>
  </si>
  <si>
    <t>仓位状态</t>
  </si>
  <si>
    <t>日内位置</t>
  </si>
  <si>
    <t>量能倍数</t>
  </si>
  <si>
    <t>分时结构</t>
  </si>
  <si>
    <t>量价关系</t>
  </si>
  <si>
    <t>份额变动</t>
  </si>
  <si>
    <t>折溢价</t>
  </si>
  <si>
    <t>龙头同步</t>
  </si>
  <si>
    <t>次日验证</t>
  </si>
  <si>
    <t>通过项</t>
  </si>
  <si>
    <t>通过明细</t>
  </si>
  <si>
    <t>未通过项</t>
  </si>
  <si>
    <t>待确认项</t>
  </si>
  <si>
    <t>一票否决</t>
  </si>
  <si>
    <t>否决原因</t>
  </si>
  <si>
    <t>建议</t>
  </si>
  <si>
    <t>红</t>
  </si>
  <si>
    <t>指数锚点（不可交易）</t>
  </si>
  <si>
    <t>缺少日内数据</t>
  </si>
  <si>
    <t>缺少涨跌幅</t>
  </si>
  <si>
    <t>待人工确认</t>
  </si>
  <si>
    <t>待次日确认</t>
  </si>
  <si>
    <t>无</t>
  </si>
  <si>
    <t>分时结构；量价关系；份额/筹码；折溢价/估值；龙头同步；次日验证</t>
  </si>
  <si>
    <t>指数仅作市场锚点，不执行买入</t>
  </si>
  <si>
    <t>指数锚点，仅观察，不执行买入</t>
  </si>
  <si>
    <t>超目标 0.80%</t>
  </si>
  <si>
    <t>当前仓位已达或超过目标仓位</t>
  </si>
  <si>
    <t>超目标 0.80%，禁止加仓</t>
  </si>
  <si>
    <t>低于目标，剩余 0.65%</t>
  </si>
  <si>
    <t>持有不加，禁止新增仓位</t>
  </si>
  <si>
    <t>持有不加，禁止新增；低于目标，剩余 0.65%</t>
  </si>
  <si>
    <t>超目标 0.07%</t>
  </si>
  <si>
    <t>超目标 0.07%，禁止加仓</t>
  </si>
  <si>
    <t>低于目标，剩余 0.50%</t>
  </si>
  <si>
    <t>缺少完整质量评分或证据，禁止新增</t>
  </si>
  <si>
    <t>质量评分或证据不完整，先补评分，禁止新增</t>
  </si>
  <si>
    <t>超目标 3.06%</t>
  </si>
  <si>
    <t>超目标 3.06%，禁止加仓</t>
  </si>
  <si>
    <t>低于目标，剩余 3.00%</t>
  </si>
  <si>
    <t>超目标 1.02%</t>
  </si>
  <si>
    <t>超目标 1.02%，禁止加仓</t>
  </si>
  <si>
    <t>低于目标，剩余 0.94%</t>
  </si>
  <si>
    <t>低于目标，剩余 0.31%</t>
  </si>
  <si>
    <t>超目标 1.41%</t>
  </si>
  <si>
    <t>超目标 1.41%，禁止加仓</t>
  </si>
  <si>
    <t>超目标 4.33%</t>
  </si>
  <si>
    <t>遗留仓禁止新买，按减仓/退出纪律处理</t>
  </si>
  <si>
    <t>遗留仓禁止新买；超目标 4.33%</t>
  </si>
  <si>
    <t>超目标 3.29%</t>
  </si>
  <si>
    <t>遗留仓禁止新买；超目标 3.29%</t>
  </si>
  <si>
    <t>超目标 1.56%</t>
  </si>
  <si>
    <t>遗留仓禁止新买；超目标 1.56%</t>
  </si>
  <si>
    <t>超目标 2.48%</t>
  </si>
  <si>
    <t>遗留仓禁止新买；超目标 2.48%</t>
  </si>
  <si>
    <t>Shares</t>
  </si>
  <si>
    <t>Available Shares</t>
  </si>
  <si>
    <t>Cost</t>
  </si>
  <si>
    <t>Latest Source</t>
  </si>
  <si>
    <t>Market Value</t>
  </si>
  <si>
    <t>P/L</t>
  </si>
  <si>
    <t>P/L%</t>
  </si>
  <si>
    <t>Today P/L</t>
  </si>
  <si>
    <t>Today P/L%</t>
  </si>
  <si>
    <t>Buy Avg</t>
  </si>
  <si>
    <t>Weight</t>
  </si>
  <si>
    <t>Full Asset Weight</t>
  </si>
  <si>
    <t>Broker Latest</t>
  </si>
  <si>
    <t>Broker Market Value</t>
  </si>
  <si>
    <t>Broker Weight</t>
  </si>
  <si>
    <t>Target Weight</t>
  </si>
  <si>
    <t>Weight Gap</t>
  </si>
  <si>
    <t>V2.8.5 Action</t>
  </si>
  <si>
    <t>纪律分类</t>
  </si>
  <si>
    <t>触发提醒</t>
  </si>
  <si>
    <t>动作建议</t>
  </si>
  <si>
    <t>是否复审</t>
  </si>
  <si>
    <t>核心持有</t>
  </si>
  <si>
    <t>否</t>
  </si>
  <si>
    <t>持有不加</t>
  </si>
  <si>
    <t>机器人ETF为核心持有；未确认高位放量回落，持有不加</t>
  </si>
  <si>
    <t>未纳入专项纪律</t>
  </si>
  <si>
    <t>按原持仓规则观察</t>
  </si>
  <si>
    <t>未命中专项纪律，按原持仓规则观察</t>
  </si>
  <si>
    <t>非核心新能源</t>
  </si>
  <si>
    <t>暂不卖出</t>
  </si>
  <si>
    <t>未达到1.30元纪律价格</t>
  </si>
  <si>
    <t>宽基重复</t>
  </si>
  <si>
    <t>提示卖出20000份</t>
  </si>
  <si>
    <t>保留</t>
  </si>
  <si>
    <t>Theme</t>
  </si>
  <si>
    <t>Current Weight</t>
  </si>
  <si>
    <t>Direction Light</t>
  </si>
  <si>
    <t>Feedback</t>
  </si>
  <si>
    <t>Buy Filter</t>
  </si>
  <si>
    <t>One-Vote Veto</t>
  </si>
  <si>
    <t>Action</t>
  </si>
  <si>
    <t>Asset Type</t>
  </si>
  <si>
    <t>Manual Quality Score</t>
  </si>
  <si>
    <t>Quality Evidence</t>
  </si>
  <si>
    <t>Share/Chip Signal</t>
  </si>
  <si>
    <t>Premium Signal</t>
  </si>
  <si>
    <t>Leader Signal</t>
  </si>
  <si>
    <t>Next-Day Signal</t>
  </si>
  <si>
    <t>Thesis</t>
  </si>
  <si>
    <t>Invalidation</t>
  </si>
  <si>
    <t>宽基</t>
  </si>
  <si>
    <t>Index</t>
  </si>
  <si>
    <t>半导体设备</t>
  </si>
  <si>
    <t>AI算力</t>
  </si>
  <si>
    <t>第一核心候选</t>
  </si>
  <si>
    <t>ETF</t>
  </si>
  <si>
    <t>机器人</t>
  </si>
  <si>
    <t>AI观察仓</t>
  </si>
  <si>
    <t>AI小观察仓</t>
  </si>
  <si>
    <t>泛AI，反弹后降级</t>
  </si>
  <si>
    <t>创新药</t>
  </si>
  <si>
    <t>创新药价格提醒</t>
  </si>
  <si>
    <t>防御</t>
  </si>
  <si>
    <t>纯防御</t>
  </si>
  <si>
    <t>新能源</t>
  </si>
  <si>
    <t>非核心，反弹减</t>
  </si>
  <si>
    <t>Stock</t>
  </si>
  <si>
    <t>遗留仓，反弹减</t>
  </si>
  <si>
    <t>新能源冗余</t>
  </si>
  <si>
    <t>步骤</t>
  </si>
  <si>
    <t>操作</t>
  </si>
  <si>
    <t>1</t>
  </si>
  <si>
    <t>编辑 watchlist.csv</t>
  </si>
  <si>
    <t>维护观察池代码、角色、目标权重</t>
  </si>
  <si>
    <t>2</t>
  </si>
  <si>
    <t>补充质量与六项信号</t>
  </si>
  <si>
    <t>在watchlist.csv填写完整质量分、评分证据、份额/筹码、折溢价/估值、龙头同步和次日验证</t>
  </si>
  <si>
    <t>3</t>
  </si>
  <si>
    <t>编辑 decision_inputs.csv</t>
  </si>
  <si>
    <t>可选：填写1-5级人工情绪温度；空白时只显示低可靠性代理</t>
  </si>
  <si>
    <t>4</t>
  </si>
  <si>
    <t>编辑 first_year_allocation.csv</t>
  </si>
  <si>
    <t>维护第一年全资产目标、代码映射、收益观察区间与执行约束；年度缺口不是买入信号</t>
  </si>
  <si>
    <t>5</t>
  </si>
  <si>
    <t>编辑 positions.csv</t>
  </si>
  <si>
    <t>维护持仓数量、成本、账户总资产和券商截图持仓快照</t>
  </si>
  <si>
    <t>6</t>
  </si>
  <si>
    <t>运行 python main.py</t>
  </si>
  <si>
    <t>抓取行情并生成 Excel</t>
  </si>
  <si>
    <t>7</t>
  </si>
  <si>
    <t>打开 output 文件夹里最新的 V2.8.5_每日行情输出_日期时间.xlsx</t>
  </si>
  <si>
    <t>先看 Decision_Center / FirstYear_Allocation / Execution_Plan / Checks，再看 Dashboard / Quality_Score / Exposure / Buy_Filter</t>
  </si>
  <si>
    <t>8</t>
  </si>
  <si>
    <t>理解双口径</t>
  </si>
  <si>
    <t>第一年目标使用全资产口径；证券账户目标继续作为集中度硬约束</t>
  </si>
  <si>
    <t>9</t>
  </si>
  <si>
    <t>理解数据边界</t>
  </si>
  <si>
    <t>缺失项不得自动判绿；代理分不折算为完整评分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</si>
</sst>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;[Red]\(#,##0\);\-"/>
    <numFmt numFmtId="177" formatCode="0.0"/>
    <numFmt numFmtId="178" formatCode="0.000"/>
  </numFmts>
  <fonts count="4">
    <font>
      <sz val="11"/>
      <color theme="1"/>
      <name val="宋体"/>
      <family val="2"/>
      <scheme val="minor"/>
    </font>
    <font>
      <b/>
      <sz val="11"/>
      <color rgb="FFFFFFFF"/>
      <name val="宋体"/>
      <family val="3"/>
      <charset val="134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0" fontId="0" fillId="0" borderId="0" xfId="0" applyNumberFormat="1" applyAlignment="1">
      <alignment vertical="center"/>
    </xf>
    <xf numFmtId="176" fontId="0" fillId="0" borderId="0" xfId="0" applyNumberFormat="1" applyAlignment="1">
      <alignment vertical="center"/>
    </xf>
    <xf numFmtId="0" fontId="2" fillId="3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49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  <xf numFmtId="9" fontId="0" fillId="0" borderId="0" xfId="0" applyNumberFormat="1" applyAlignment="1">
      <alignment vertical="center"/>
    </xf>
    <xf numFmtId="0" fontId="0" fillId="3" borderId="0" xfId="0" applyFill="1" applyAlignment="1">
      <alignment vertical="center"/>
    </xf>
    <xf numFmtId="178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0" fontId="2" fillId="4" borderId="0" xfId="0" applyFont="1" applyFill="1" applyAlignment="1">
      <alignment horizontal="center" vertical="center" wrapText="1"/>
    </xf>
    <xf numFmtId="49" fontId="0" fillId="6" borderId="0" xfId="0" applyNumberFormat="1" applyFill="1" applyAlignment="1">
      <alignment vertical="center"/>
    </xf>
    <xf numFmtId="0" fontId="0" fillId="6" borderId="0" xfId="0" applyFill="1" applyAlignment="1">
      <alignment vertical="center" wrapText="1"/>
    </xf>
    <xf numFmtId="0" fontId="0" fillId="6" borderId="0" xfId="0" applyFill="1" applyAlignment="1">
      <alignment vertical="center"/>
    </xf>
    <xf numFmtId="177" fontId="0" fillId="6" borderId="0" xfId="0" applyNumberFormat="1" applyFill="1" applyAlignment="1">
      <alignment vertical="center"/>
    </xf>
    <xf numFmtId="10" fontId="0" fillId="6" borderId="0" xfId="0" applyNumberFormat="1" applyFill="1" applyAlignment="1">
      <alignment vertical="center"/>
    </xf>
    <xf numFmtId="178" fontId="0" fillId="6" borderId="0" xfId="0" applyNumberFormat="1" applyFill="1" applyAlignment="1">
      <alignment vertical="center"/>
    </xf>
    <xf numFmtId="2" fontId="0" fillId="6" borderId="0" xfId="0" applyNumberFormat="1" applyFill="1" applyAlignment="1">
      <alignment vertical="center"/>
    </xf>
    <xf numFmtId="176" fontId="0" fillId="6" borderId="0" xfId="0" applyNumberFormat="1" applyFill="1" applyAlignment="1">
      <alignment vertical="center"/>
    </xf>
    <xf numFmtId="3" fontId="0" fillId="6" borderId="0" xfId="0" applyNumberFormat="1" applyFill="1" applyAlignment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当前仓位 </a:t>
            </a:r>
            <a:r>
              <a:rPr lang="en"/>
              <a:t>vs </a:t>
            </a:r>
            <a:r>
              <a:rPr lang="zh-CN" altLang="en-US"/>
              <a:t>目标仓位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当前仓位</c:v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0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Positions!$B$2:$B$14</c:f>
              <c:strCache>
                <c:ptCount val="13"/>
                <c:pt idx="0">
                  <c:v>机器人ETF</c:v>
                </c:pt>
                <c:pt idx="1">
                  <c:v>比亚迪</c:v>
                </c:pt>
                <c:pt idx="2">
                  <c:v>中证A500ETF</c:v>
                </c:pt>
                <c:pt idx="3">
                  <c:v>云计算ETF</c:v>
                </c:pt>
                <c:pt idx="4">
                  <c:v>半导体设备ETF</c:v>
                </c:pt>
                <c:pt idx="5">
                  <c:v>国债ETF</c:v>
                </c:pt>
                <c:pt idx="6">
                  <c:v>中望软件</c:v>
                </c:pt>
                <c:pt idx="7">
                  <c:v>绿电ETF</c:v>
                </c:pt>
                <c:pt idx="8">
                  <c:v>储能电池ETF</c:v>
                </c:pt>
                <c:pt idx="9">
                  <c:v>红利低波ETF</c:v>
                </c:pt>
                <c:pt idx="10">
                  <c:v>可转债ETF</c:v>
                </c:pt>
                <c:pt idx="11">
                  <c:v>上证ETF</c:v>
                </c:pt>
                <c:pt idx="12">
                  <c:v>创业板人工智能ETF</c:v>
                </c:pt>
              </c:strCache>
            </c:strRef>
          </c:cat>
          <c:val>
            <c:numRef>
              <c:f>Positions!$N$2:$N$14</c:f>
              <c:numCache>
                <c:formatCode>General</c:formatCode>
                <c:ptCount val="13"/>
                <c:pt idx="0">
                  <c:v>0.13350000000000001</c:v>
                </c:pt>
                <c:pt idx="1">
                  <c:v>9.3299999999999994E-2</c:v>
                </c:pt>
                <c:pt idx="2">
                  <c:v>7.0199999999999999E-2</c:v>
                </c:pt>
                <c:pt idx="3">
                  <c:v>6.0600000000000001E-2</c:v>
                </c:pt>
                <c:pt idx="4">
                  <c:v>5.8000000000000003E-2</c:v>
                </c:pt>
                <c:pt idx="5">
                  <c:v>5.4100000000000002E-2</c:v>
                </c:pt>
                <c:pt idx="6">
                  <c:v>5.2900000000000003E-2</c:v>
                </c:pt>
                <c:pt idx="7">
                  <c:v>4.5600000000000002E-2</c:v>
                </c:pt>
                <c:pt idx="8">
                  <c:v>4.48E-2</c:v>
                </c:pt>
                <c:pt idx="9">
                  <c:v>4.0599999999999997E-2</c:v>
                </c:pt>
                <c:pt idx="10">
                  <c:v>3.6900000000000002E-2</c:v>
                </c:pt>
                <c:pt idx="11">
                  <c:v>3.44E-2</c:v>
                </c:pt>
                <c:pt idx="12">
                  <c:v>2.07E-2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A2-3341-B3E6-F506AC1C7976}"/>
            </c:ext>
          </c:extLst>
        </c:ser>
        <c:ser>
          <c:idx val="1"/>
          <c:order val="1"/>
          <c:tx>
            <c:v>目标仓位</c:v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0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Positions!$B$2:$B$14</c:f>
              <c:strCache>
                <c:ptCount val="13"/>
                <c:pt idx="0">
                  <c:v>机器人ETF</c:v>
                </c:pt>
                <c:pt idx="1">
                  <c:v>比亚迪</c:v>
                </c:pt>
                <c:pt idx="2">
                  <c:v>中证A500ETF</c:v>
                </c:pt>
                <c:pt idx="3">
                  <c:v>云计算ETF</c:v>
                </c:pt>
                <c:pt idx="4">
                  <c:v>半导体设备ETF</c:v>
                </c:pt>
                <c:pt idx="5">
                  <c:v>国债ETF</c:v>
                </c:pt>
                <c:pt idx="6">
                  <c:v>中望软件</c:v>
                </c:pt>
                <c:pt idx="7">
                  <c:v>绿电ETF</c:v>
                </c:pt>
                <c:pt idx="8">
                  <c:v>储能电池ETF</c:v>
                </c:pt>
                <c:pt idx="9">
                  <c:v>红利低波ETF</c:v>
                </c:pt>
                <c:pt idx="10">
                  <c:v>可转债ETF</c:v>
                </c:pt>
                <c:pt idx="11">
                  <c:v>上证ETF</c:v>
                </c:pt>
                <c:pt idx="12">
                  <c:v>创业板人工智能ETF</c:v>
                </c:pt>
              </c:strCache>
            </c:strRef>
          </c:cat>
          <c:val>
            <c:numRef>
              <c:f>Positions!$T$2:$T$14</c:f>
              <c:numCache>
                <c:formatCode>General</c:formatCode>
                <c:ptCount val="13"/>
                <c:pt idx="0">
                  <c:v>0.14000000000000001</c:v>
                </c:pt>
                <c:pt idx="1">
                  <c:v>0.05</c:v>
                </c:pt>
                <c:pt idx="2">
                  <c:v>0.06</c:v>
                </c:pt>
                <c:pt idx="3">
                  <c:v>0.03</c:v>
                </c:pt>
                <c:pt idx="4">
                  <c:v>0.05</c:v>
                </c:pt>
                <c:pt idx="5">
                  <c:v>0.04</c:v>
                </c:pt>
                <c:pt idx="6">
                  <c:v>0.02</c:v>
                </c:pt>
                <c:pt idx="7">
                  <c:v>0.03</c:v>
                </c:pt>
                <c:pt idx="8">
                  <c:v>0.02</c:v>
                </c:pt>
                <c:pt idx="9">
                  <c:v>0.05</c:v>
                </c:pt>
                <c:pt idx="10">
                  <c:v>0.04</c:v>
                </c:pt>
                <c:pt idx="11">
                  <c:v>0.04</c:v>
                </c:pt>
                <c:pt idx="12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A2-3341-B3E6-F506AC1C7976}"/>
            </c:ext>
          </c:extLst>
        </c:ser>
        <c:dLbls>
          <c:showLegendKey val="1"/>
          <c:showVal val="0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证券账户权重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标的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第一年配置：当前金额 </a:t>
            </a:r>
            <a:r>
              <a:rPr lang="en"/>
              <a:t>vs </a:t>
            </a:r>
            <a:r>
              <a:rPr lang="zh-CN" altLang="en-US"/>
              <a:t>动态目标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当前金额</c:v>
          </c:tx>
          <c:spPr>
            <a:ln>
              <a:prstDash val="solid"/>
            </a:ln>
          </c:spPr>
          <c:invertIfNegative val="1"/>
          <c:cat>
            <c:strRef>
              <c:f>FirstYear_Allocation!$B$2:$B$12</c:f>
              <c:strCache>
                <c:ptCount val="11"/>
                <c:pt idx="0">
                  <c:v>半导体设备ETF 159516</c:v>
                </c:pt>
                <c:pt idx="1">
                  <c:v>机器人ETF 562500</c:v>
                </c:pt>
                <c:pt idx="2">
                  <c:v>创业板人工智能ETF 159381</c:v>
                </c:pt>
                <c:pt idx="3">
                  <c:v>创新药ETF</c:v>
                </c:pt>
                <c:pt idx="4">
                  <c:v>比亚迪+绿电+储能</c:v>
                </c:pt>
                <c:pt idx="5">
                  <c:v>云计算ETF</c:v>
                </c:pt>
                <c:pt idx="6">
                  <c:v>中证A500ETF</c:v>
                </c:pt>
                <c:pt idx="7">
                  <c:v>红利低波ETF</c:v>
                </c:pt>
                <c:pt idx="8">
                  <c:v>可转债ETF</c:v>
                </c:pt>
                <c:pt idx="9">
                  <c:v>战术机会仓</c:v>
                </c:pt>
                <c:pt idx="10">
                  <c:v>AI/半导体高质量个股篮子</c:v>
                </c:pt>
              </c:strCache>
            </c:strRef>
          </c:cat>
          <c:val>
            <c:numRef>
              <c:f>FirstYear_Allocation!$H$2:$H$12</c:f>
              <c:numCache>
                <c:formatCode>#,##0;[Red]\(#,##0\);\-</c:formatCode>
                <c:ptCount val="11"/>
                <c:pt idx="0">
                  <c:v>60640</c:v>
                </c:pt>
                <c:pt idx="1">
                  <c:v>139459.20000000001</c:v>
                </c:pt>
                <c:pt idx="2">
                  <c:v>21675</c:v>
                </c:pt>
                <c:pt idx="3">
                  <c:v>0</c:v>
                </c:pt>
                <c:pt idx="4">
                  <c:v>191942.39999999999</c:v>
                </c:pt>
                <c:pt idx="5">
                  <c:v>63344</c:v>
                </c:pt>
                <c:pt idx="6">
                  <c:v>109274.2</c:v>
                </c:pt>
                <c:pt idx="7">
                  <c:v>42370</c:v>
                </c:pt>
                <c:pt idx="8">
                  <c:v>38499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71-3042-B3B6-269F5332AD7B}"/>
            </c:ext>
          </c:extLst>
        </c:ser>
        <c:ser>
          <c:idx val="1"/>
          <c:order val="1"/>
          <c:tx>
            <c:v>动态目标</c:v>
          </c:tx>
          <c:spPr>
            <a:ln>
              <a:prstDash val="solid"/>
            </a:ln>
          </c:spPr>
          <c:invertIfNegative val="1"/>
          <c:cat>
            <c:strRef>
              <c:f>FirstYear_Allocation!$B$2:$B$12</c:f>
              <c:strCache>
                <c:ptCount val="11"/>
                <c:pt idx="0">
                  <c:v>半导体设备ETF 159516</c:v>
                </c:pt>
                <c:pt idx="1">
                  <c:v>机器人ETF 562500</c:v>
                </c:pt>
                <c:pt idx="2">
                  <c:v>创业板人工智能ETF 159381</c:v>
                </c:pt>
                <c:pt idx="3">
                  <c:v>创新药ETF</c:v>
                </c:pt>
                <c:pt idx="4">
                  <c:v>比亚迪+绿电+储能</c:v>
                </c:pt>
                <c:pt idx="5">
                  <c:v>云计算ETF</c:v>
                </c:pt>
                <c:pt idx="6">
                  <c:v>中证A500ETF</c:v>
                </c:pt>
                <c:pt idx="7">
                  <c:v>红利低波ETF</c:v>
                </c:pt>
                <c:pt idx="8">
                  <c:v>可转债ETF</c:v>
                </c:pt>
                <c:pt idx="9">
                  <c:v>战术机会仓</c:v>
                </c:pt>
                <c:pt idx="10">
                  <c:v>AI/半导体高质量个股篮子</c:v>
                </c:pt>
              </c:strCache>
            </c:strRef>
          </c:cat>
          <c:val>
            <c:numRef>
              <c:f>FirstYear_Allocation!$G$2:$G$12</c:f>
              <c:numCache>
                <c:formatCode>#,##0;[Red]\(#,##0\);\-</c:formatCode>
                <c:ptCount val="11"/>
                <c:pt idx="0">
                  <c:v>382640</c:v>
                </c:pt>
                <c:pt idx="1">
                  <c:v>382640</c:v>
                </c:pt>
                <c:pt idx="2">
                  <c:v>286980</c:v>
                </c:pt>
                <c:pt idx="3">
                  <c:v>95660</c:v>
                </c:pt>
                <c:pt idx="4">
                  <c:v>143490</c:v>
                </c:pt>
                <c:pt idx="5">
                  <c:v>143490</c:v>
                </c:pt>
                <c:pt idx="6">
                  <c:v>382640</c:v>
                </c:pt>
                <c:pt idx="7">
                  <c:v>239150</c:v>
                </c:pt>
                <c:pt idx="8">
                  <c:v>478300</c:v>
                </c:pt>
                <c:pt idx="9">
                  <c:v>143490</c:v>
                </c:pt>
                <c:pt idx="10">
                  <c:v>95660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71-3042-B3B6-269F5332A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金额（元）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配置项</a:t>
                </a:r>
              </a:p>
            </c:rich>
          </c:tx>
          <c:overlay val="1"/>
        </c:title>
        <c:numFmt formatCode="#,##0;[Red]\(#,##0\)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940000" cy="295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19</xdr:row>
      <xdr:rowOff>0</xdr:rowOff>
    </xdr:from>
    <xdr:ext cx="5940000" cy="295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zoomScale="131" workbookViewId="0">
      <pane ySplit="1" topLeftCell="A2" activePane="bottomLeft" state="frozen"/>
      <selection pane="bottomLeft" activeCell="B13" sqref="B13"/>
    </sheetView>
  </sheetViews>
  <sheetFormatPr baseColWidth="10" defaultColWidth="8.83203125" defaultRowHeight="14"/>
  <cols>
    <col min="1" max="1" width="14" customWidth="1"/>
    <col min="2" max="2" width="22.33203125" bestFit="1" customWidth="1"/>
    <col min="3" max="3" width="42" customWidth="1"/>
    <col min="4" max="4" width="38" customWidth="1"/>
  </cols>
  <sheetData>
    <row r="1" spans="1:4" ht="15">
      <c r="A1" s="1" t="s">
        <v>0</v>
      </c>
      <c r="B1" s="1" t="s">
        <v>1</v>
      </c>
      <c r="C1" s="1" t="s">
        <v>2</v>
      </c>
      <c r="D1" s="1" t="s">
        <v>3</v>
      </c>
    </row>
    <row r="2" spans="1:4" ht="34" customHeight="1">
      <c r="A2" s="2" t="s">
        <v>4</v>
      </c>
      <c r="B2" s="2" t="s">
        <v>5</v>
      </c>
      <c r="C2" s="3" t="s">
        <v>6</v>
      </c>
      <c r="D2" s="3" t="s">
        <v>7</v>
      </c>
    </row>
    <row r="3" spans="1:4" ht="34" customHeight="1">
      <c r="A3" s="2" t="s">
        <v>8</v>
      </c>
      <c r="B3" s="2" t="s">
        <v>9</v>
      </c>
      <c r="C3" s="3" t="s">
        <v>10</v>
      </c>
      <c r="D3" s="3" t="s">
        <v>11</v>
      </c>
    </row>
    <row r="4" spans="1:4" ht="34" customHeight="1">
      <c r="A4" s="2" t="s">
        <v>12</v>
      </c>
      <c r="B4" s="2" t="s">
        <v>9</v>
      </c>
      <c r="C4" s="3" t="s">
        <v>13</v>
      </c>
      <c r="D4" s="3" t="s">
        <v>14</v>
      </c>
    </row>
    <row r="5" spans="1:4" ht="34" customHeight="1">
      <c r="A5" s="2" t="s">
        <v>15</v>
      </c>
      <c r="B5" s="2" t="s">
        <v>16</v>
      </c>
      <c r="C5" s="3" t="s">
        <v>17</v>
      </c>
      <c r="D5" s="3" t="s">
        <v>18</v>
      </c>
    </row>
    <row r="6" spans="1:4" ht="34" customHeight="1">
      <c r="A6" s="2" t="s">
        <v>19</v>
      </c>
      <c r="B6" s="2" t="s">
        <v>20</v>
      </c>
      <c r="C6" s="3" t="s">
        <v>21</v>
      </c>
      <c r="D6" s="3" t="s">
        <v>22</v>
      </c>
    </row>
    <row r="7" spans="1:4" ht="34" customHeight="1">
      <c r="A7" s="2" t="s">
        <v>23</v>
      </c>
      <c r="B7" s="2" t="s">
        <v>24</v>
      </c>
      <c r="C7" s="3" t="s">
        <v>25</v>
      </c>
      <c r="D7" s="3" t="s">
        <v>26</v>
      </c>
    </row>
    <row r="8" spans="1:4" ht="34" customHeight="1">
      <c r="A8" s="2" t="s">
        <v>27</v>
      </c>
      <c r="B8" s="2" t="s">
        <v>28</v>
      </c>
      <c r="C8" s="3" t="s">
        <v>29</v>
      </c>
      <c r="D8" s="3" t="s">
        <v>30</v>
      </c>
    </row>
    <row r="9" spans="1:4" ht="34" customHeight="1">
      <c r="A9" s="2" t="s">
        <v>31</v>
      </c>
      <c r="B9" s="2" t="s">
        <v>32</v>
      </c>
      <c r="C9" s="3" t="s">
        <v>33</v>
      </c>
      <c r="D9" s="3" t="s">
        <v>34</v>
      </c>
    </row>
    <row r="10" spans="1:4" ht="34" customHeight="1">
      <c r="A10" s="2" t="s">
        <v>35</v>
      </c>
      <c r="B10" s="2" t="s">
        <v>36</v>
      </c>
      <c r="C10" s="3" t="s">
        <v>37</v>
      </c>
      <c r="D10" s="3" t="s">
        <v>38</v>
      </c>
    </row>
  </sheetData>
  <autoFilter ref="A1:D10" xr:uid="{00000000-0009-0000-0000-000000000000}"/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6"/>
  <sheetViews>
    <sheetView zoomScale="125" workbookViewId="0">
      <pane ySplit="1" topLeftCell="A10" activePane="bottomLeft" state="frozen"/>
      <selection pane="bottomLeft"/>
    </sheetView>
  </sheetViews>
  <sheetFormatPr baseColWidth="10" defaultColWidth="8.83203125" defaultRowHeight="14"/>
  <cols>
    <col min="1" max="1" width="26" customWidth="1"/>
    <col min="2" max="2" width="48" customWidth="1"/>
  </cols>
  <sheetData>
    <row r="1" spans="1:2" ht="15">
      <c r="A1" s="1" t="s">
        <v>39</v>
      </c>
      <c r="B1" s="1" t="s">
        <v>40</v>
      </c>
    </row>
    <row r="2" spans="1:2">
      <c r="A2" s="2" t="s">
        <v>41</v>
      </c>
      <c r="B2" s="2" t="s">
        <v>42</v>
      </c>
    </row>
    <row r="3" spans="1:2">
      <c r="A3" s="2" t="s">
        <v>43</v>
      </c>
      <c r="B3" s="2" t="s">
        <v>44</v>
      </c>
    </row>
    <row r="4" spans="1:2">
      <c r="A4" s="2" t="s">
        <v>45</v>
      </c>
      <c r="B4" s="2" t="s">
        <v>46</v>
      </c>
    </row>
    <row r="5" spans="1:2">
      <c r="A5" s="2" t="s">
        <v>47</v>
      </c>
      <c r="B5" s="2" t="s">
        <v>48</v>
      </c>
    </row>
    <row r="6" spans="1:2">
      <c r="A6" s="2" t="s">
        <v>49</v>
      </c>
      <c r="B6" s="2" t="s">
        <v>50</v>
      </c>
    </row>
    <row r="7" spans="1:2">
      <c r="A7" s="2" t="s">
        <v>51</v>
      </c>
      <c r="B7" s="2" t="s">
        <v>52</v>
      </c>
    </row>
    <row r="8" spans="1:2">
      <c r="A8" s="2" t="s">
        <v>53</v>
      </c>
      <c r="B8" s="2">
        <v>1</v>
      </c>
    </row>
    <row r="9" spans="1:2">
      <c r="A9" s="2" t="s">
        <v>54</v>
      </c>
      <c r="B9" s="2" t="s">
        <v>55</v>
      </c>
    </row>
    <row r="10" spans="1:2">
      <c r="A10" s="2" t="s">
        <v>56</v>
      </c>
      <c r="B10" s="2">
        <v>0</v>
      </c>
    </row>
    <row r="11" spans="1:2">
      <c r="A11" s="2" t="s">
        <v>57</v>
      </c>
      <c r="B11" s="2">
        <v>0</v>
      </c>
    </row>
    <row r="12" spans="1:2">
      <c r="A12" s="2" t="s">
        <v>58</v>
      </c>
      <c r="B12" s="2">
        <v>0</v>
      </c>
    </row>
    <row r="13" spans="1:2">
      <c r="A13" s="2" t="s">
        <v>59</v>
      </c>
      <c r="B13" s="2">
        <v>14</v>
      </c>
    </row>
    <row r="14" spans="1:2">
      <c r="A14" s="2" t="s">
        <v>60</v>
      </c>
      <c r="B14" s="4">
        <v>0.58000000000000007</v>
      </c>
    </row>
    <row r="15" spans="1:2">
      <c r="A15" s="2" t="s">
        <v>61</v>
      </c>
      <c r="B15" s="4">
        <v>0.1394948358770646</v>
      </c>
    </row>
    <row r="16" spans="1:2">
      <c r="A16" s="2" t="s">
        <v>62</v>
      </c>
      <c r="B16" s="4">
        <v>0.2405083377190769</v>
      </c>
    </row>
    <row r="17" spans="1:2">
      <c r="A17" s="2" t="s">
        <v>63</v>
      </c>
      <c r="B17" s="5">
        <v>2774140</v>
      </c>
    </row>
    <row r="18" spans="1:2">
      <c r="A18" s="2" t="s">
        <v>64</v>
      </c>
      <c r="B18" s="5">
        <v>667203.80000000005</v>
      </c>
    </row>
    <row r="19" spans="1:2">
      <c r="A19" s="2" t="s">
        <v>65</v>
      </c>
      <c r="B19" s="5">
        <v>2106936.2000000002</v>
      </c>
    </row>
    <row r="20" spans="1:2">
      <c r="A20" s="2" t="s">
        <v>66</v>
      </c>
      <c r="B20" s="4">
        <v>0.41999999999999987</v>
      </c>
    </row>
    <row r="21" spans="1:2">
      <c r="A21" s="2" t="s">
        <v>67</v>
      </c>
      <c r="B21" s="5">
        <v>1044641.11</v>
      </c>
    </row>
    <row r="22" spans="1:2">
      <c r="A22" s="2" t="s">
        <v>68</v>
      </c>
      <c r="B22" s="5">
        <v>4783000</v>
      </c>
    </row>
    <row r="23" spans="1:2">
      <c r="A23" s="2" t="s">
        <v>69</v>
      </c>
      <c r="B23" s="5">
        <v>779034.22</v>
      </c>
    </row>
    <row r="24" spans="1:2">
      <c r="A24" s="2" t="s">
        <v>70</v>
      </c>
      <c r="B24" s="5">
        <v>4636.63</v>
      </c>
    </row>
    <row r="25" spans="1:2">
      <c r="A25" s="2" t="s">
        <v>71</v>
      </c>
      <c r="B25" s="5">
        <v>-69979.7</v>
      </c>
    </row>
    <row r="26" spans="1:2">
      <c r="A26" s="2" t="s">
        <v>72</v>
      </c>
      <c r="B26" s="5">
        <v>251305.47</v>
      </c>
    </row>
    <row r="27" spans="1:2">
      <c r="A27" s="2" t="s">
        <v>73</v>
      </c>
      <c r="B27" s="5">
        <v>1</v>
      </c>
    </row>
    <row r="28" spans="1:2">
      <c r="A28" s="2" t="s">
        <v>74</v>
      </c>
      <c r="B28" s="4">
        <v>0.74570000000000003</v>
      </c>
    </row>
    <row r="29" spans="1:2">
      <c r="A29" s="2" t="s">
        <v>75</v>
      </c>
      <c r="B29" s="4">
        <v>0.16287564708342039</v>
      </c>
    </row>
    <row r="30" spans="1:2">
      <c r="A30" s="2" t="s">
        <v>76</v>
      </c>
      <c r="B30" s="4">
        <v>0.24056632234203379</v>
      </c>
    </row>
    <row r="31" spans="1:2">
      <c r="A31" s="2" t="s">
        <v>77</v>
      </c>
      <c r="B31" s="5">
        <v>307860.67</v>
      </c>
    </row>
    <row r="32" spans="1:2">
      <c r="A32" s="2" t="s">
        <v>78</v>
      </c>
      <c r="B32" s="5">
        <v>251305.47</v>
      </c>
    </row>
    <row r="33" spans="1:2">
      <c r="A33" s="2" t="s">
        <v>79</v>
      </c>
      <c r="B33" s="5">
        <v>56555.199999999997</v>
      </c>
    </row>
    <row r="34" spans="1:2">
      <c r="A34" s="2" t="s">
        <v>80</v>
      </c>
      <c r="B34" s="5">
        <v>300000</v>
      </c>
    </row>
    <row r="35" spans="1:2">
      <c r="A35" s="2" t="s">
        <v>81</v>
      </c>
      <c r="B35" s="5">
        <v>500000</v>
      </c>
    </row>
    <row r="36" spans="1:2">
      <c r="A36" s="2" t="s">
        <v>82</v>
      </c>
      <c r="B36" s="2" t="s">
        <v>83</v>
      </c>
    </row>
    <row r="37" spans="1:2">
      <c r="A37" s="2" t="s">
        <v>84</v>
      </c>
      <c r="B37" s="2">
        <v>20</v>
      </c>
    </row>
    <row r="38" spans="1:2">
      <c r="A38" s="2" t="s">
        <v>85</v>
      </c>
      <c r="B38" s="2">
        <v>8</v>
      </c>
    </row>
    <row r="39" spans="1:2">
      <c r="A39" s="2" t="s">
        <v>86</v>
      </c>
      <c r="B39" s="2" t="s">
        <v>87</v>
      </c>
    </row>
    <row r="40" spans="1:2">
      <c r="A40" s="2" t="s">
        <v>88</v>
      </c>
      <c r="B40" s="2" t="s">
        <v>89</v>
      </c>
    </row>
    <row r="41" spans="1:2">
      <c r="A41" s="2" t="s">
        <v>90</v>
      </c>
      <c r="B41" s="2" t="s">
        <v>91</v>
      </c>
    </row>
    <row r="42" spans="1:2">
      <c r="A42" s="2" t="s">
        <v>92</v>
      </c>
      <c r="B42" s="2" t="s">
        <v>93</v>
      </c>
    </row>
    <row r="43" spans="1:2">
      <c r="A43" s="2" t="s">
        <v>94</v>
      </c>
      <c r="B43" s="2" t="s">
        <v>95</v>
      </c>
    </row>
    <row r="44" spans="1:2">
      <c r="A44" s="2" t="s">
        <v>96</v>
      </c>
      <c r="B44" s="2" t="s">
        <v>97</v>
      </c>
    </row>
    <row r="45" spans="1:2">
      <c r="A45" s="2" t="s">
        <v>98</v>
      </c>
      <c r="B45" s="2" t="s">
        <v>99</v>
      </c>
    </row>
    <row r="46" spans="1:2">
      <c r="A46" s="2" t="s">
        <v>100</v>
      </c>
      <c r="B46" s="2" t="s">
        <v>101</v>
      </c>
    </row>
  </sheetData>
  <autoFilter ref="A1:B46" xr:uid="{00000000-0009-0000-0000-000001000000}"/>
  <phoneticPr fontId="3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2"/>
  <sheetViews>
    <sheetView topLeftCell="C1" zoomScale="115"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4" customWidth="1"/>
    <col min="2" max="2" width="26" customWidth="1"/>
    <col min="3" max="3" width="18" customWidth="1"/>
    <col min="4" max="4" width="24" customWidth="1"/>
    <col min="5" max="5" width="18" bestFit="1" customWidth="1"/>
    <col min="6" max="15" width="14" customWidth="1"/>
    <col min="16" max="16" width="18" customWidth="1"/>
    <col min="17" max="17" width="46" customWidth="1"/>
    <col min="18" max="18" width="22" customWidth="1"/>
    <col min="19" max="19" width="14" customWidth="1"/>
  </cols>
  <sheetData>
    <row r="1" spans="1:19" ht="30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1" t="s">
        <v>109</v>
      </c>
      <c r="I1" s="1" t="s">
        <v>110</v>
      </c>
      <c r="J1" s="1" t="s">
        <v>111</v>
      </c>
      <c r="K1" s="1" t="s">
        <v>112</v>
      </c>
      <c r="L1" s="1" t="s">
        <v>113</v>
      </c>
      <c r="M1" s="1" t="s">
        <v>114</v>
      </c>
      <c r="N1" s="1" t="s">
        <v>115</v>
      </c>
      <c r="O1" s="1" t="s">
        <v>116</v>
      </c>
      <c r="P1" s="1" t="s">
        <v>117</v>
      </c>
      <c r="Q1" s="1" t="s">
        <v>118</v>
      </c>
      <c r="R1" s="1" t="s">
        <v>119</v>
      </c>
      <c r="S1" s="1" t="s">
        <v>120</v>
      </c>
    </row>
    <row r="2" spans="1:19" ht="15">
      <c r="A2" s="2" t="s">
        <v>121</v>
      </c>
      <c r="B2" s="3" t="s">
        <v>122</v>
      </c>
      <c r="C2" s="3" t="s">
        <v>123</v>
      </c>
      <c r="D2" s="3" t="s">
        <v>124</v>
      </c>
      <c r="E2" s="4">
        <v>0.08</v>
      </c>
      <c r="F2" s="5">
        <v>384000</v>
      </c>
      <c r="G2" s="5">
        <v>382640</v>
      </c>
      <c r="H2" s="5">
        <v>60640</v>
      </c>
      <c r="I2" s="5">
        <v>60800</v>
      </c>
      <c r="J2" s="5">
        <v>322000</v>
      </c>
      <c r="K2" s="4">
        <v>0.15847794271377799</v>
      </c>
      <c r="L2" s="4">
        <v>1.2678235417102239E-2</v>
      </c>
      <c r="M2" s="4">
        <v>0.2</v>
      </c>
      <c r="N2" s="4">
        <v>0.3</v>
      </c>
      <c r="O2" s="2" t="s">
        <v>125</v>
      </c>
      <c r="P2" s="3" t="s">
        <v>126</v>
      </c>
      <c r="Q2" s="3" t="s">
        <v>127</v>
      </c>
      <c r="R2" s="3" t="s">
        <v>128</v>
      </c>
      <c r="S2" s="2" t="s">
        <v>129</v>
      </c>
    </row>
    <row r="3" spans="1:19" ht="15">
      <c r="A3" s="2" t="s">
        <v>130</v>
      </c>
      <c r="B3" s="3" t="s">
        <v>131</v>
      </c>
      <c r="C3" s="3" t="s">
        <v>132</v>
      </c>
      <c r="D3" s="3" t="s">
        <v>133</v>
      </c>
      <c r="E3" s="4">
        <v>0.08</v>
      </c>
      <c r="F3" s="5">
        <v>384000</v>
      </c>
      <c r="G3" s="5">
        <v>382640</v>
      </c>
      <c r="H3" s="5">
        <v>139459.20000000001</v>
      </c>
      <c r="I3" s="5">
        <v>139700</v>
      </c>
      <c r="J3" s="5">
        <v>243180.79999999999</v>
      </c>
      <c r="K3" s="4">
        <v>0.36446581643320097</v>
      </c>
      <c r="L3" s="4">
        <v>2.9157265314656081E-2</v>
      </c>
      <c r="M3" s="4">
        <v>0.18</v>
      </c>
      <c r="N3" s="4">
        <v>0.25</v>
      </c>
      <c r="O3" s="2" t="s">
        <v>125</v>
      </c>
      <c r="P3" s="3" t="s">
        <v>126</v>
      </c>
      <c r="Q3" s="3" t="s">
        <v>134</v>
      </c>
      <c r="R3" s="3" t="s">
        <v>128</v>
      </c>
      <c r="S3" s="2" t="s">
        <v>129</v>
      </c>
    </row>
    <row r="4" spans="1:19" ht="15">
      <c r="A4" s="2" t="s">
        <v>135</v>
      </c>
      <c r="B4" s="3" t="s">
        <v>136</v>
      </c>
      <c r="C4" s="3" t="s">
        <v>132</v>
      </c>
      <c r="D4" s="3" t="s">
        <v>137</v>
      </c>
      <c r="E4" s="4">
        <v>0.06</v>
      </c>
      <c r="F4" s="5">
        <v>288000</v>
      </c>
      <c r="G4" s="5">
        <v>286980</v>
      </c>
      <c r="H4" s="5">
        <v>21675</v>
      </c>
      <c r="I4" s="5">
        <v>21900</v>
      </c>
      <c r="J4" s="5">
        <v>265305</v>
      </c>
      <c r="K4" s="4">
        <v>7.5527911352707505E-2</v>
      </c>
      <c r="L4" s="4">
        <v>4.5316746811624514E-3</v>
      </c>
      <c r="M4" s="4">
        <v>0.2</v>
      </c>
      <c r="N4" s="4">
        <v>0.3</v>
      </c>
      <c r="O4" s="2" t="s">
        <v>125</v>
      </c>
      <c r="P4" s="3" t="s">
        <v>126</v>
      </c>
      <c r="Q4" s="3" t="s">
        <v>127</v>
      </c>
      <c r="R4" s="3" t="s">
        <v>128</v>
      </c>
      <c r="S4" s="2" t="s">
        <v>129</v>
      </c>
    </row>
    <row r="5" spans="1:19" ht="15">
      <c r="A5" s="2" t="s">
        <v>138</v>
      </c>
      <c r="B5" s="3" t="s">
        <v>139</v>
      </c>
      <c r="C5" s="3" t="s">
        <v>140</v>
      </c>
      <c r="D5" s="3" t="s">
        <v>141</v>
      </c>
      <c r="E5" s="4">
        <v>0.02</v>
      </c>
      <c r="F5" s="5">
        <v>96000</v>
      </c>
      <c r="G5" s="5">
        <v>95660</v>
      </c>
      <c r="H5" s="5">
        <v>0</v>
      </c>
      <c r="I5" s="5">
        <v>0</v>
      </c>
      <c r="J5" s="5">
        <v>95660</v>
      </c>
      <c r="K5" s="4">
        <v>0</v>
      </c>
      <c r="L5" s="4">
        <v>0</v>
      </c>
      <c r="M5" s="4">
        <v>0.15</v>
      </c>
      <c r="N5" s="4">
        <v>0.25</v>
      </c>
      <c r="O5" s="2" t="s">
        <v>142</v>
      </c>
      <c r="P5" s="3" t="s">
        <v>126</v>
      </c>
      <c r="Q5" s="3" t="s">
        <v>143</v>
      </c>
      <c r="R5" s="3" t="s">
        <v>128</v>
      </c>
      <c r="S5" s="2" t="s">
        <v>129</v>
      </c>
    </row>
    <row r="6" spans="1:19" ht="15">
      <c r="A6" s="2" t="s">
        <v>144</v>
      </c>
      <c r="B6" s="3" t="s">
        <v>145</v>
      </c>
      <c r="C6" s="3" t="s">
        <v>146</v>
      </c>
      <c r="D6" s="3" t="s">
        <v>147</v>
      </c>
      <c r="E6" s="4">
        <v>0.03</v>
      </c>
      <c r="F6" s="5">
        <v>144000</v>
      </c>
      <c r="G6" s="5">
        <v>143490</v>
      </c>
      <c r="H6" s="5">
        <v>191942.39999999999</v>
      </c>
      <c r="I6" s="5">
        <v>191200</v>
      </c>
      <c r="J6" s="5">
        <v>-48452.399999999987</v>
      </c>
      <c r="K6" s="4">
        <v>1.3376709178339949</v>
      </c>
      <c r="L6" s="4">
        <v>4.0130127535019863E-2</v>
      </c>
      <c r="M6" s="4">
        <v>0.08</v>
      </c>
      <c r="N6" s="4">
        <v>0.15</v>
      </c>
      <c r="O6" s="2" t="s">
        <v>125</v>
      </c>
      <c r="P6" s="3" t="s">
        <v>148</v>
      </c>
      <c r="Q6" s="3" t="s">
        <v>149</v>
      </c>
      <c r="R6" s="3" t="s">
        <v>128</v>
      </c>
      <c r="S6" s="2" t="s">
        <v>129</v>
      </c>
    </row>
    <row r="7" spans="1:19" ht="15">
      <c r="A7" s="2" t="s">
        <v>150</v>
      </c>
      <c r="B7" s="3" t="s">
        <v>151</v>
      </c>
      <c r="C7" s="3" t="s">
        <v>152</v>
      </c>
      <c r="D7" s="3" t="s">
        <v>153</v>
      </c>
      <c r="E7" s="4">
        <v>0.03</v>
      </c>
      <c r="F7" s="5">
        <v>144000</v>
      </c>
      <c r="G7" s="5">
        <v>143490</v>
      </c>
      <c r="H7" s="5">
        <v>63344</v>
      </c>
      <c r="I7" s="5">
        <v>63500</v>
      </c>
      <c r="J7" s="5">
        <v>80146</v>
      </c>
      <c r="K7" s="4">
        <v>0.44145236601853788</v>
      </c>
      <c r="L7" s="4">
        <v>1.3243570980556139E-2</v>
      </c>
      <c r="M7" s="4">
        <v>0.08</v>
      </c>
      <c r="N7" s="4">
        <v>0.15</v>
      </c>
      <c r="O7" s="2" t="s">
        <v>125</v>
      </c>
      <c r="P7" s="3" t="s">
        <v>126</v>
      </c>
      <c r="Q7" s="3" t="s">
        <v>154</v>
      </c>
      <c r="R7" s="3" t="s">
        <v>128</v>
      </c>
      <c r="S7" s="2" t="s">
        <v>129</v>
      </c>
    </row>
    <row r="8" spans="1:19" ht="15">
      <c r="A8" s="2" t="s">
        <v>155</v>
      </c>
      <c r="B8" s="3" t="s">
        <v>156</v>
      </c>
      <c r="C8" s="3" t="s">
        <v>157</v>
      </c>
      <c r="D8" s="3" t="s">
        <v>158</v>
      </c>
      <c r="E8" s="4">
        <v>0.08</v>
      </c>
      <c r="F8" s="5">
        <v>384000</v>
      </c>
      <c r="G8" s="5">
        <v>382640</v>
      </c>
      <c r="H8" s="5">
        <v>109274.2</v>
      </c>
      <c r="I8" s="5">
        <v>109300</v>
      </c>
      <c r="J8" s="5">
        <v>273365.8</v>
      </c>
      <c r="K8" s="4">
        <v>0.28557965711896299</v>
      </c>
      <c r="L8" s="4">
        <v>2.2846372569517041E-2</v>
      </c>
      <c r="M8" s="4">
        <v>0.06</v>
      </c>
      <c r="N8" s="4">
        <v>0.1</v>
      </c>
      <c r="O8" s="2" t="s">
        <v>125</v>
      </c>
      <c r="P8" s="3" t="s">
        <v>126</v>
      </c>
      <c r="Q8" s="3" t="s">
        <v>159</v>
      </c>
      <c r="R8" s="3" t="s">
        <v>128</v>
      </c>
      <c r="S8" s="2" t="s">
        <v>129</v>
      </c>
    </row>
    <row r="9" spans="1:19" ht="15">
      <c r="A9" s="2" t="s">
        <v>160</v>
      </c>
      <c r="B9" s="3" t="s">
        <v>161</v>
      </c>
      <c r="C9" s="3" t="s">
        <v>157</v>
      </c>
      <c r="D9" s="3" t="s">
        <v>162</v>
      </c>
      <c r="E9" s="4">
        <v>0.05</v>
      </c>
      <c r="F9" s="5">
        <v>240000</v>
      </c>
      <c r="G9" s="5">
        <v>239150</v>
      </c>
      <c r="H9" s="5">
        <v>42370</v>
      </c>
      <c r="I9" s="5">
        <v>42400</v>
      </c>
      <c r="J9" s="5">
        <v>196780</v>
      </c>
      <c r="K9" s="4">
        <v>0.17716914070666939</v>
      </c>
      <c r="L9" s="4">
        <v>8.8584570353334724E-3</v>
      </c>
      <c r="M9" s="4">
        <v>0.05</v>
      </c>
      <c r="N9" s="4">
        <v>0.08</v>
      </c>
      <c r="O9" s="2" t="s">
        <v>125</v>
      </c>
      <c r="P9" s="3" t="s">
        <v>126</v>
      </c>
      <c r="Q9" s="3" t="s">
        <v>163</v>
      </c>
      <c r="R9" s="3" t="s">
        <v>128</v>
      </c>
      <c r="S9" s="2" t="s">
        <v>129</v>
      </c>
    </row>
    <row r="10" spans="1:19" ht="15">
      <c r="A10" s="2" t="s">
        <v>164</v>
      </c>
      <c r="B10" s="3" t="s">
        <v>165</v>
      </c>
      <c r="C10" s="3" t="s">
        <v>166</v>
      </c>
      <c r="D10" s="3" t="s">
        <v>167</v>
      </c>
      <c r="E10" s="4">
        <v>0.1</v>
      </c>
      <c r="F10" s="5">
        <v>480000</v>
      </c>
      <c r="G10" s="5">
        <v>478300</v>
      </c>
      <c r="H10" s="5">
        <v>38499</v>
      </c>
      <c r="I10" s="5">
        <v>38400</v>
      </c>
      <c r="J10" s="5">
        <v>439801</v>
      </c>
      <c r="K10" s="4">
        <v>8.0491323437173329E-2</v>
      </c>
      <c r="L10" s="4">
        <v>8.0491323437173329E-3</v>
      </c>
      <c r="M10" s="4">
        <v>0.06</v>
      </c>
      <c r="N10" s="4">
        <v>0.1</v>
      </c>
      <c r="O10" s="2" t="s">
        <v>125</v>
      </c>
      <c r="P10" s="3" t="s">
        <v>126</v>
      </c>
      <c r="Q10" s="3" t="s">
        <v>168</v>
      </c>
      <c r="R10" s="3" t="s">
        <v>128</v>
      </c>
      <c r="S10" s="2" t="s">
        <v>129</v>
      </c>
    </row>
    <row r="11" spans="1:19" ht="15">
      <c r="A11" s="2" t="s">
        <v>169</v>
      </c>
      <c r="B11" s="3" t="s">
        <v>170</v>
      </c>
      <c r="C11" s="3" t="s">
        <v>171</v>
      </c>
      <c r="D11" s="3" t="s">
        <v>172</v>
      </c>
      <c r="E11" s="4">
        <v>0.03</v>
      </c>
      <c r="F11" s="5">
        <v>144000</v>
      </c>
      <c r="G11" s="5">
        <v>143490</v>
      </c>
      <c r="H11" s="5">
        <v>0</v>
      </c>
      <c r="I11" s="5">
        <v>0</v>
      </c>
      <c r="J11" s="5">
        <v>143490</v>
      </c>
      <c r="K11" s="4">
        <v>0</v>
      </c>
      <c r="L11" s="4">
        <v>0</v>
      </c>
      <c r="M11" s="4">
        <v>0.15</v>
      </c>
      <c r="N11" s="4">
        <v>0.3</v>
      </c>
      <c r="O11" s="2" t="s">
        <v>142</v>
      </c>
      <c r="P11" s="3" t="s">
        <v>173</v>
      </c>
      <c r="Q11" s="3" t="s">
        <v>174</v>
      </c>
      <c r="R11" s="3" t="s">
        <v>128</v>
      </c>
      <c r="S11" s="2" t="s">
        <v>129</v>
      </c>
    </row>
    <row r="12" spans="1:19" ht="15">
      <c r="A12" s="2" t="s">
        <v>175</v>
      </c>
      <c r="B12" s="3" t="s">
        <v>176</v>
      </c>
      <c r="C12" s="3" t="s">
        <v>177</v>
      </c>
      <c r="D12" s="3" t="s">
        <v>172</v>
      </c>
      <c r="E12" s="4">
        <v>0.02</v>
      </c>
      <c r="F12" s="5">
        <v>96000</v>
      </c>
      <c r="G12" s="5">
        <v>95660</v>
      </c>
      <c r="H12" s="5">
        <v>0</v>
      </c>
      <c r="I12" s="5">
        <v>0</v>
      </c>
      <c r="J12" s="5">
        <v>95660</v>
      </c>
      <c r="K12" s="4">
        <v>0</v>
      </c>
      <c r="L12" s="4">
        <v>0</v>
      </c>
      <c r="M12" s="4">
        <v>0.25</v>
      </c>
      <c r="N12" s="4">
        <v>0.35</v>
      </c>
      <c r="O12" s="2" t="s">
        <v>142</v>
      </c>
      <c r="P12" s="3" t="s">
        <v>173</v>
      </c>
      <c r="Q12" s="3" t="s">
        <v>178</v>
      </c>
      <c r="R12" s="3" t="s">
        <v>128</v>
      </c>
      <c r="S12" s="2" t="s">
        <v>129</v>
      </c>
    </row>
  </sheetData>
  <autoFilter ref="A1:S12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6" width="14" customWidth="1"/>
    <col min="7" max="7" width="42" customWidth="1"/>
    <col min="8" max="8" width="14" customWidth="1"/>
    <col min="9" max="9" width="26" customWidth="1"/>
    <col min="10" max="12" width="14" customWidth="1"/>
  </cols>
  <sheetData>
    <row r="1" spans="1:12" ht="15">
      <c r="A1" s="1" t="s">
        <v>179</v>
      </c>
      <c r="B1" s="1" t="s">
        <v>180</v>
      </c>
      <c r="C1" s="1" t="s">
        <v>181</v>
      </c>
      <c r="D1" s="1" t="s">
        <v>182</v>
      </c>
      <c r="E1" s="1" t="s">
        <v>183</v>
      </c>
      <c r="F1" s="1" t="s">
        <v>184</v>
      </c>
      <c r="G1" s="1" t="s">
        <v>185</v>
      </c>
      <c r="H1" s="1" t="s">
        <v>1</v>
      </c>
      <c r="I1" s="1" t="s">
        <v>186</v>
      </c>
      <c r="J1" s="1" t="s">
        <v>187</v>
      </c>
      <c r="K1" s="1" t="s">
        <v>111</v>
      </c>
      <c r="L1" s="1" t="s">
        <v>112</v>
      </c>
    </row>
    <row r="2" spans="1:12" ht="30">
      <c r="A2" s="2">
        <v>1</v>
      </c>
      <c r="B2" s="2" t="s">
        <v>188</v>
      </c>
      <c r="C2" s="2" t="s">
        <v>189</v>
      </c>
      <c r="D2" s="2" t="s">
        <v>190</v>
      </c>
      <c r="E2" s="2" t="s">
        <v>191</v>
      </c>
      <c r="F2" s="2" t="s">
        <v>192</v>
      </c>
      <c r="G2" s="3" t="s">
        <v>193</v>
      </c>
      <c r="H2" s="2" t="s">
        <v>194</v>
      </c>
      <c r="I2" s="3" t="s">
        <v>156</v>
      </c>
      <c r="J2" s="4">
        <v>0.08</v>
      </c>
      <c r="K2" s="5">
        <v>273365.8</v>
      </c>
      <c r="L2" s="4">
        <v>0.28557965711896299</v>
      </c>
    </row>
    <row r="3" spans="1:12" ht="15">
      <c r="A3" s="2">
        <v>2</v>
      </c>
      <c r="B3" s="2" t="s">
        <v>188</v>
      </c>
      <c r="C3" s="2" t="s">
        <v>195</v>
      </c>
      <c r="D3" s="2" t="s">
        <v>196</v>
      </c>
      <c r="E3" s="2" t="s">
        <v>191</v>
      </c>
      <c r="F3" s="2" t="s">
        <v>192</v>
      </c>
      <c r="G3" s="3" t="s">
        <v>197</v>
      </c>
      <c r="H3" s="2" t="s">
        <v>194</v>
      </c>
      <c r="I3" s="3" t="s">
        <v>145</v>
      </c>
      <c r="J3" s="4">
        <v>0.03</v>
      </c>
      <c r="K3" s="5">
        <v>-48452.399999999987</v>
      </c>
      <c r="L3" s="4">
        <v>1.3376709178339949</v>
      </c>
    </row>
  </sheetData>
  <autoFilter ref="A1:L3" xr:uid="{00000000-0009-0000-0000-000003000000}"/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1"/>
  <sheetViews>
    <sheetView tabSelected="1" zoomScale="125" workbookViewId="0">
      <pane ySplit="1" topLeftCell="A2" activePane="bottomLeft" state="frozen"/>
      <selection pane="bottomLeft" activeCell="D20" sqref="D20"/>
    </sheetView>
  </sheetViews>
  <sheetFormatPr baseColWidth="10" defaultColWidth="8.83203125" defaultRowHeight="14"/>
  <cols>
    <col min="1" max="1" width="21.1640625" bestFit="1" customWidth="1"/>
    <col min="2" max="2" width="12.6640625" customWidth="1"/>
    <col min="3" max="3" width="17.1640625" bestFit="1" customWidth="1"/>
    <col min="4" max="6" width="14" customWidth="1"/>
    <col min="7" max="7" width="53.1640625" customWidth="1"/>
  </cols>
  <sheetData>
    <row r="1" spans="1:7" ht="15">
      <c r="A1" s="1" t="s">
        <v>198</v>
      </c>
      <c r="B1" s="1" t="s">
        <v>199</v>
      </c>
      <c r="C1" s="1" t="s">
        <v>200</v>
      </c>
      <c r="D1" s="1" t="s">
        <v>201</v>
      </c>
      <c r="E1" s="1" t="s">
        <v>202</v>
      </c>
      <c r="F1" s="1" t="s">
        <v>1</v>
      </c>
      <c r="G1" s="1" t="s">
        <v>203</v>
      </c>
    </row>
    <row r="2" spans="1:7" ht="21" customHeight="1">
      <c r="A2" s="2" t="s">
        <v>204</v>
      </c>
      <c r="B2" s="2">
        <v>779034.22000000009</v>
      </c>
      <c r="C2" s="2">
        <v>779034.22</v>
      </c>
      <c r="D2" s="2">
        <v>1.164153218269348E-10</v>
      </c>
      <c r="E2" s="2">
        <v>1</v>
      </c>
      <c r="F2" s="6" t="s">
        <v>205</v>
      </c>
      <c r="G2" s="3" t="s">
        <v>206</v>
      </c>
    </row>
    <row r="3" spans="1:7" ht="21" customHeight="1">
      <c r="A3" s="2" t="s">
        <v>207</v>
      </c>
      <c r="B3" s="2">
        <v>0.74560000000000004</v>
      </c>
      <c r="C3" s="2">
        <v>0.74570000000000003</v>
      </c>
      <c r="D3" s="2">
        <v>-9.9999999999988987E-5</v>
      </c>
      <c r="E3" s="2">
        <v>1E-3</v>
      </c>
      <c r="F3" s="6" t="s">
        <v>205</v>
      </c>
      <c r="G3" s="3" t="s">
        <v>208</v>
      </c>
    </row>
    <row r="4" spans="1:7" ht="21" customHeight="1">
      <c r="A4" s="2" t="s">
        <v>209</v>
      </c>
      <c r="B4" s="2">
        <v>7</v>
      </c>
      <c r="C4" s="2">
        <v>0</v>
      </c>
      <c r="D4" s="2">
        <v>7</v>
      </c>
      <c r="E4" s="2">
        <v>0</v>
      </c>
      <c r="F4" s="7" t="s">
        <v>210</v>
      </c>
      <c r="G4" s="3" t="s">
        <v>211</v>
      </c>
    </row>
    <row r="5" spans="1:7" ht="21" customHeight="1">
      <c r="A5" s="2" t="s">
        <v>212</v>
      </c>
      <c r="B5" s="2">
        <v>0</v>
      </c>
      <c r="C5" s="2">
        <v>0</v>
      </c>
      <c r="D5" s="2">
        <v>0</v>
      </c>
      <c r="E5" s="2">
        <v>0</v>
      </c>
      <c r="F5" s="6" t="s">
        <v>205</v>
      </c>
      <c r="G5" s="3" t="s">
        <v>213</v>
      </c>
    </row>
    <row r="6" spans="1:7" ht="21" customHeight="1">
      <c r="A6" s="2" t="s">
        <v>214</v>
      </c>
      <c r="B6" s="2">
        <v>0</v>
      </c>
      <c r="C6" s="2">
        <v>0</v>
      </c>
      <c r="D6" s="2">
        <v>0</v>
      </c>
      <c r="E6" s="2">
        <v>0</v>
      </c>
      <c r="F6" s="6" t="s">
        <v>205</v>
      </c>
      <c r="G6" s="3" t="s">
        <v>215</v>
      </c>
    </row>
    <row r="7" spans="1:7" ht="21" customHeight="1">
      <c r="A7" s="2" t="s">
        <v>216</v>
      </c>
      <c r="B7" s="2">
        <v>14</v>
      </c>
      <c r="C7" s="2">
        <v>0</v>
      </c>
      <c r="D7" s="2">
        <v>14</v>
      </c>
      <c r="E7" s="2">
        <v>0</v>
      </c>
      <c r="F7" s="8" t="s">
        <v>217</v>
      </c>
      <c r="G7" s="3" t="s">
        <v>218</v>
      </c>
    </row>
    <row r="8" spans="1:7" ht="21" customHeight="1">
      <c r="A8" s="2" t="s">
        <v>219</v>
      </c>
      <c r="B8" s="2">
        <v>4783000</v>
      </c>
      <c r="C8" s="2" t="s">
        <v>220</v>
      </c>
      <c r="D8" s="2"/>
      <c r="E8" s="2">
        <v>0</v>
      </c>
      <c r="F8" s="6" t="s">
        <v>205</v>
      </c>
      <c r="G8" s="3" t="s">
        <v>221</v>
      </c>
    </row>
    <row r="9" spans="1:7" ht="21" customHeight="1">
      <c r="A9" s="2" t="s">
        <v>222</v>
      </c>
      <c r="B9" s="2">
        <v>0.58000000000000007</v>
      </c>
      <c r="C9" s="2" t="s">
        <v>223</v>
      </c>
      <c r="D9" s="2"/>
      <c r="E9" s="2">
        <v>0</v>
      </c>
      <c r="F9" s="6" t="s">
        <v>205</v>
      </c>
      <c r="G9" s="3" t="s">
        <v>224</v>
      </c>
    </row>
    <row r="10" spans="1:7" ht="21" customHeight="1">
      <c r="A10" s="2" t="s">
        <v>225</v>
      </c>
      <c r="B10" s="2">
        <v>667203.80000000005</v>
      </c>
      <c r="C10" s="2">
        <v>667200</v>
      </c>
      <c r="D10" s="2">
        <v>3.8000000000465661</v>
      </c>
      <c r="E10" s="2">
        <v>2000</v>
      </c>
      <c r="F10" s="6" t="s">
        <v>205</v>
      </c>
      <c r="G10" s="3" t="s">
        <v>226</v>
      </c>
    </row>
    <row r="11" spans="1:7" ht="21" customHeight="1">
      <c r="A11" s="2" t="s">
        <v>227</v>
      </c>
      <c r="B11" s="2">
        <v>0</v>
      </c>
      <c r="C11" s="2">
        <v>0</v>
      </c>
      <c r="D11" s="2">
        <v>0</v>
      </c>
      <c r="E11" s="2">
        <v>0</v>
      </c>
      <c r="F11" s="6" t="s">
        <v>205</v>
      </c>
      <c r="G11" s="3" t="s">
        <v>228</v>
      </c>
    </row>
  </sheetData>
  <autoFilter ref="A1:G11" xr:uid="{00000000-0009-0000-0000-000004000000}"/>
  <phoneticPr fontId="3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2" width="14" customWidth="1"/>
    <col min="3" max="3" width="34" customWidth="1"/>
    <col min="4" max="4" width="22" customWidth="1"/>
  </cols>
  <sheetData>
    <row r="1" spans="1:4" ht="15">
      <c r="A1" s="1" t="s">
        <v>229</v>
      </c>
      <c r="B1" s="1" t="s">
        <v>230</v>
      </c>
      <c r="C1" s="1" t="s">
        <v>231</v>
      </c>
      <c r="D1" s="1" t="s">
        <v>119</v>
      </c>
    </row>
    <row r="2" spans="1:4" ht="15">
      <c r="A2" s="2" t="s">
        <v>15</v>
      </c>
      <c r="B2" s="2" t="s">
        <v>232</v>
      </c>
      <c r="C2" s="3" t="s">
        <v>233</v>
      </c>
      <c r="D2" s="3" t="s">
        <v>234</v>
      </c>
    </row>
    <row r="3" spans="1:4" ht="15">
      <c r="A3" s="2" t="s">
        <v>15</v>
      </c>
      <c r="B3" s="2" t="s">
        <v>235</v>
      </c>
      <c r="C3" s="3" t="s">
        <v>236</v>
      </c>
      <c r="D3" s="3" t="s">
        <v>234</v>
      </c>
    </row>
    <row r="4" spans="1:4" ht="15">
      <c r="A4" s="2" t="s">
        <v>15</v>
      </c>
      <c r="B4" s="2" t="s">
        <v>237</v>
      </c>
      <c r="C4" s="3" t="s">
        <v>238</v>
      </c>
      <c r="D4" s="3" t="s">
        <v>234</v>
      </c>
    </row>
    <row r="5" spans="1:4" ht="15">
      <c r="A5" s="2" t="s">
        <v>239</v>
      </c>
      <c r="B5" s="2" t="s">
        <v>8</v>
      </c>
      <c r="C5" s="3" t="s">
        <v>240</v>
      </c>
      <c r="D5" s="3" t="s">
        <v>241</v>
      </c>
    </row>
    <row r="6" spans="1:4" ht="15">
      <c r="A6" s="2" t="s">
        <v>239</v>
      </c>
      <c r="B6" s="2" t="s">
        <v>12</v>
      </c>
      <c r="C6" s="3" t="s">
        <v>242</v>
      </c>
      <c r="D6" s="3" t="s">
        <v>241</v>
      </c>
    </row>
    <row r="7" spans="1:4" ht="15">
      <c r="A7" s="2" t="s">
        <v>23</v>
      </c>
      <c r="B7" s="2" t="s">
        <v>243</v>
      </c>
      <c r="C7" s="3" t="s">
        <v>244</v>
      </c>
      <c r="D7" s="3" t="s">
        <v>245</v>
      </c>
    </row>
    <row r="8" spans="1:4" ht="15">
      <c r="A8" s="2" t="s">
        <v>246</v>
      </c>
      <c r="B8" s="2" t="s">
        <v>247</v>
      </c>
      <c r="C8" s="3" t="s">
        <v>33</v>
      </c>
      <c r="D8" s="3" t="s">
        <v>248</v>
      </c>
    </row>
    <row r="9" spans="1:4" ht="15">
      <c r="A9" s="2" t="s">
        <v>249</v>
      </c>
      <c r="B9" s="2" t="s">
        <v>250</v>
      </c>
      <c r="C9" s="3" t="s">
        <v>251</v>
      </c>
      <c r="D9" s="3" t="s">
        <v>252</v>
      </c>
    </row>
    <row r="10" spans="1:4" ht="15">
      <c r="A10" s="2" t="s">
        <v>249</v>
      </c>
      <c r="B10" s="2" t="s">
        <v>253</v>
      </c>
      <c r="C10" s="3" t="s">
        <v>254</v>
      </c>
      <c r="D10" s="3" t="s">
        <v>252</v>
      </c>
    </row>
    <row r="11" spans="1:4" ht="15">
      <c r="A11" s="2" t="s">
        <v>255</v>
      </c>
      <c r="B11" s="2" t="s">
        <v>256</v>
      </c>
      <c r="C11" s="3" t="s">
        <v>257</v>
      </c>
      <c r="D11" s="3" t="s">
        <v>258</v>
      </c>
    </row>
    <row r="12" spans="1:4" ht="15">
      <c r="A12" s="2" t="s">
        <v>255</v>
      </c>
      <c r="B12" s="2" t="s">
        <v>259</v>
      </c>
      <c r="C12" s="3" t="s">
        <v>260</v>
      </c>
      <c r="D12" s="3" t="s">
        <v>258</v>
      </c>
    </row>
    <row r="13" spans="1:4" ht="15">
      <c r="A13" s="2" t="s">
        <v>255</v>
      </c>
      <c r="B13" s="2" t="s">
        <v>261</v>
      </c>
      <c r="C13" s="3" t="s">
        <v>257</v>
      </c>
      <c r="D13" s="3" t="s">
        <v>258</v>
      </c>
    </row>
    <row r="14" spans="1:4" ht="15">
      <c r="A14" s="2" t="s">
        <v>255</v>
      </c>
      <c r="B14" s="2" t="s">
        <v>196</v>
      </c>
      <c r="C14" s="3" t="s">
        <v>262</v>
      </c>
      <c r="D14" s="3" t="s">
        <v>258</v>
      </c>
    </row>
    <row r="15" spans="1:4" ht="15">
      <c r="A15" s="2" t="s">
        <v>255</v>
      </c>
      <c r="B15" s="2" t="s">
        <v>263</v>
      </c>
      <c r="C15" s="3" t="s">
        <v>260</v>
      </c>
      <c r="D15" s="3" t="s">
        <v>258</v>
      </c>
    </row>
    <row r="16" spans="1:4" ht="15">
      <c r="A16" s="2" t="s">
        <v>255</v>
      </c>
      <c r="B16" s="2" t="s">
        <v>264</v>
      </c>
      <c r="C16" s="3" t="s">
        <v>265</v>
      </c>
      <c r="D16" s="3" t="s">
        <v>258</v>
      </c>
    </row>
    <row r="17" spans="1:4" ht="30">
      <c r="A17" s="2" t="s">
        <v>266</v>
      </c>
      <c r="B17" s="2" t="s">
        <v>122</v>
      </c>
      <c r="C17" s="3" t="s">
        <v>267</v>
      </c>
      <c r="D17" s="3" t="s">
        <v>268</v>
      </c>
    </row>
    <row r="18" spans="1:4" ht="30">
      <c r="A18" s="2" t="s">
        <v>266</v>
      </c>
      <c r="B18" s="2" t="s">
        <v>131</v>
      </c>
      <c r="C18" s="3" t="s">
        <v>269</v>
      </c>
      <c r="D18" s="3" t="s">
        <v>268</v>
      </c>
    </row>
    <row r="19" spans="1:4" ht="30">
      <c r="A19" s="2" t="s">
        <v>266</v>
      </c>
      <c r="B19" s="2" t="s">
        <v>136</v>
      </c>
      <c r="C19" s="3" t="s">
        <v>270</v>
      </c>
      <c r="D19" s="3" t="s">
        <v>268</v>
      </c>
    </row>
    <row r="20" spans="1:4" ht="30">
      <c r="A20" s="2" t="s">
        <v>266</v>
      </c>
      <c r="B20" s="2" t="s">
        <v>139</v>
      </c>
      <c r="C20" s="3" t="s">
        <v>271</v>
      </c>
      <c r="D20" s="3" t="s">
        <v>268</v>
      </c>
    </row>
    <row r="21" spans="1:4" ht="30">
      <c r="A21" s="2" t="s">
        <v>266</v>
      </c>
      <c r="B21" s="2" t="s">
        <v>145</v>
      </c>
      <c r="C21" s="3" t="s">
        <v>272</v>
      </c>
      <c r="D21" s="3" t="s">
        <v>268</v>
      </c>
    </row>
    <row r="22" spans="1:4" ht="30">
      <c r="A22" s="2" t="s">
        <v>266</v>
      </c>
      <c r="B22" s="2" t="s">
        <v>151</v>
      </c>
      <c r="C22" s="3" t="s">
        <v>272</v>
      </c>
      <c r="D22" s="3" t="s">
        <v>268</v>
      </c>
    </row>
    <row r="23" spans="1:4" ht="30">
      <c r="A23" s="2" t="s">
        <v>266</v>
      </c>
      <c r="B23" s="2" t="s">
        <v>156</v>
      </c>
      <c r="C23" s="3" t="s">
        <v>273</v>
      </c>
      <c r="D23" s="3" t="s">
        <v>268</v>
      </c>
    </row>
    <row r="24" spans="1:4" ht="30">
      <c r="A24" s="2" t="s">
        <v>266</v>
      </c>
      <c r="B24" s="2" t="s">
        <v>161</v>
      </c>
      <c r="C24" s="3" t="s">
        <v>274</v>
      </c>
      <c r="D24" s="3" t="s">
        <v>268</v>
      </c>
    </row>
    <row r="25" spans="1:4" ht="30">
      <c r="A25" s="2" t="s">
        <v>266</v>
      </c>
      <c r="B25" s="2" t="s">
        <v>165</v>
      </c>
      <c r="C25" s="3" t="s">
        <v>275</v>
      </c>
      <c r="D25" s="3" t="s">
        <v>268</v>
      </c>
    </row>
    <row r="26" spans="1:4" ht="30">
      <c r="A26" s="2" t="s">
        <v>266</v>
      </c>
      <c r="B26" s="2" t="s">
        <v>170</v>
      </c>
      <c r="C26" s="3" t="s">
        <v>276</v>
      </c>
      <c r="D26" s="3" t="s">
        <v>268</v>
      </c>
    </row>
    <row r="27" spans="1:4" ht="30">
      <c r="A27" s="2" t="s">
        <v>266</v>
      </c>
      <c r="B27" s="2" t="s">
        <v>176</v>
      </c>
      <c r="C27" s="3" t="s">
        <v>277</v>
      </c>
      <c r="D27" s="3" t="s">
        <v>268</v>
      </c>
    </row>
  </sheetData>
  <autoFilter ref="A1:D27" xr:uid="{00000000-0009-0000-0000-000005000000}"/>
  <phoneticPr fontId="3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4" customWidth="1"/>
    <col min="2" max="2" width="12" customWidth="1"/>
    <col min="3" max="8" width="14" customWidth="1"/>
    <col min="9" max="9" width="42" customWidth="1"/>
  </cols>
  <sheetData>
    <row r="1" spans="1:9" ht="15">
      <c r="A1" s="1" t="s">
        <v>278</v>
      </c>
      <c r="B1" s="1" t="s">
        <v>279</v>
      </c>
      <c r="C1" s="1" t="s">
        <v>280</v>
      </c>
      <c r="D1" s="1" t="s">
        <v>281</v>
      </c>
      <c r="E1" s="1" t="s">
        <v>282</v>
      </c>
      <c r="F1" s="1" t="s">
        <v>283</v>
      </c>
      <c r="G1" s="1" t="s">
        <v>284</v>
      </c>
      <c r="H1" s="1" t="s">
        <v>285</v>
      </c>
      <c r="I1" s="1" t="s">
        <v>49</v>
      </c>
    </row>
    <row r="2" spans="1:9" ht="15">
      <c r="A2" s="2" t="s">
        <v>286</v>
      </c>
      <c r="B2" s="9" t="s">
        <v>287</v>
      </c>
      <c r="C2" s="2" t="s">
        <v>288</v>
      </c>
      <c r="D2" s="2"/>
      <c r="E2" s="2"/>
      <c r="F2" s="2"/>
      <c r="G2" s="2"/>
      <c r="H2" s="2" t="s">
        <v>289</v>
      </c>
      <c r="I2" s="3" t="s">
        <v>290</v>
      </c>
    </row>
    <row r="3" spans="1:9" ht="15">
      <c r="A3" s="2" t="s">
        <v>286</v>
      </c>
      <c r="B3" s="9" t="s">
        <v>291</v>
      </c>
      <c r="C3" s="2" t="s">
        <v>292</v>
      </c>
      <c r="D3" s="2"/>
      <c r="E3" s="2"/>
      <c r="F3" s="2"/>
      <c r="G3" s="2"/>
      <c r="H3" s="2" t="s">
        <v>289</v>
      </c>
      <c r="I3" s="3" t="s">
        <v>290</v>
      </c>
    </row>
    <row r="4" spans="1:9" ht="15">
      <c r="A4" s="2" t="s">
        <v>286</v>
      </c>
      <c r="B4" s="9" t="s">
        <v>293</v>
      </c>
      <c r="C4" s="2" t="s">
        <v>294</v>
      </c>
      <c r="D4" s="2"/>
      <c r="E4" s="2"/>
      <c r="F4" s="2"/>
      <c r="G4" s="2"/>
      <c r="H4" s="2" t="s">
        <v>289</v>
      </c>
      <c r="I4" s="3" t="s">
        <v>290</v>
      </c>
    </row>
    <row r="5" spans="1:9" ht="15">
      <c r="A5" s="2" t="s">
        <v>295</v>
      </c>
      <c r="B5" s="9" t="s">
        <v>296</v>
      </c>
      <c r="C5" s="2" t="s">
        <v>297</v>
      </c>
      <c r="D5" s="2"/>
      <c r="E5" s="2"/>
      <c r="F5" s="2"/>
      <c r="G5" s="2"/>
      <c r="H5" s="2" t="s">
        <v>289</v>
      </c>
      <c r="I5" s="3" t="s">
        <v>290</v>
      </c>
    </row>
    <row r="6" spans="1:9" ht="15">
      <c r="A6" s="2" t="s">
        <v>295</v>
      </c>
      <c r="B6" s="9" t="s">
        <v>298</v>
      </c>
      <c r="C6" s="2" t="s">
        <v>299</v>
      </c>
      <c r="D6" s="2"/>
      <c r="E6" s="2"/>
      <c r="F6" s="2"/>
      <c r="G6" s="2"/>
      <c r="H6" s="2" t="s">
        <v>289</v>
      </c>
      <c r="I6" s="3" t="s">
        <v>290</v>
      </c>
    </row>
    <row r="7" spans="1:9" ht="15">
      <c r="A7" s="2" t="s">
        <v>300</v>
      </c>
      <c r="B7" s="9"/>
      <c r="C7" s="2" t="s">
        <v>301</v>
      </c>
      <c r="D7" s="2"/>
      <c r="E7" s="2"/>
      <c r="F7" s="2"/>
      <c r="G7" s="2"/>
      <c r="H7" s="2" t="s">
        <v>52</v>
      </c>
      <c r="I7" s="3" t="s">
        <v>302</v>
      </c>
    </row>
    <row r="8" spans="1:9" ht="15">
      <c r="A8" s="2" t="s">
        <v>303</v>
      </c>
      <c r="B8" s="9"/>
      <c r="C8" s="2" t="s">
        <v>304</v>
      </c>
      <c r="D8" s="2"/>
      <c r="E8" s="2"/>
      <c r="F8" s="2"/>
      <c r="G8" s="2"/>
      <c r="H8" s="2" t="s">
        <v>52</v>
      </c>
      <c r="I8" s="3" t="s">
        <v>305</v>
      </c>
    </row>
    <row r="9" spans="1:9" ht="15">
      <c r="A9" s="2" t="s">
        <v>306</v>
      </c>
      <c r="B9" s="9"/>
      <c r="C9" s="2" t="s">
        <v>51</v>
      </c>
      <c r="D9" s="2"/>
      <c r="E9" s="2"/>
      <c r="F9" s="2"/>
      <c r="G9" s="2"/>
      <c r="H9" s="2" t="s">
        <v>52</v>
      </c>
      <c r="I9" s="3" t="s">
        <v>7</v>
      </c>
    </row>
  </sheetData>
  <autoFilter ref="A1:I9" xr:uid="{00000000-0009-0000-0000-000006000000}"/>
  <phoneticPr fontId="3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5" width="14" customWidth="1"/>
    <col min="6" max="6" width="22" customWidth="1"/>
  </cols>
  <sheetData>
    <row r="1" spans="1:6" ht="15">
      <c r="A1" s="1" t="s">
        <v>307</v>
      </c>
      <c r="B1" s="1" t="s">
        <v>308</v>
      </c>
      <c r="C1" s="1" t="s">
        <v>1</v>
      </c>
      <c r="D1" s="1" t="s">
        <v>309</v>
      </c>
      <c r="E1" s="1" t="s">
        <v>310</v>
      </c>
      <c r="F1" s="1" t="s">
        <v>119</v>
      </c>
    </row>
    <row r="2" spans="1:6" ht="15">
      <c r="A2" s="2" t="s">
        <v>53</v>
      </c>
      <c r="B2" s="2">
        <v>1</v>
      </c>
      <c r="C2" s="2" t="s">
        <v>311</v>
      </c>
      <c r="D2" s="2" t="s">
        <v>25</v>
      </c>
      <c r="E2" s="2" t="s">
        <v>55</v>
      </c>
      <c r="F2" s="3" t="s">
        <v>312</v>
      </c>
    </row>
    <row r="3" spans="1:6" ht="15">
      <c r="A3" s="2" t="s">
        <v>313</v>
      </c>
      <c r="B3" s="2">
        <v>1</v>
      </c>
      <c r="C3" s="2" t="s">
        <v>311</v>
      </c>
      <c r="D3" s="2" t="s">
        <v>314</v>
      </c>
      <c r="E3" s="2" t="s">
        <v>315</v>
      </c>
      <c r="F3" s="3" t="s">
        <v>316</v>
      </c>
    </row>
    <row r="4" spans="1:6" ht="15">
      <c r="A4" s="2" t="s">
        <v>317</v>
      </c>
      <c r="B4" s="2"/>
      <c r="C4" s="2" t="s">
        <v>318</v>
      </c>
      <c r="D4" s="2" t="s">
        <v>319</v>
      </c>
      <c r="E4" s="2" t="s">
        <v>315</v>
      </c>
      <c r="F4" s="3" t="s">
        <v>316</v>
      </c>
    </row>
    <row r="5" spans="1:6" ht="15">
      <c r="A5" s="2" t="s">
        <v>320</v>
      </c>
      <c r="B5" s="2"/>
      <c r="C5" s="2" t="s">
        <v>321</v>
      </c>
      <c r="D5" s="2" t="s">
        <v>319</v>
      </c>
      <c r="E5" s="2" t="s">
        <v>315</v>
      </c>
      <c r="F5" s="3" t="s">
        <v>316</v>
      </c>
    </row>
    <row r="6" spans="1:6" ht="15">
      <c r="A6" s="2" t="s">
        <v>322</v>
      </c>
      <c r="B6" s="2"/>
      <c r="C6" s="2" t="s">
        <v>323</v>
      </c>
      <c r="D6" s="2" t="s">
        <v>324</v>
      </c>
      <c r="E6" s="2" t="s">
        <v>315</v>
      </c>
      <c r="F6" s="3" t="s">
        <v>316</v>
      </c>
    </row>
    <row r="7" spans="1:6" ht="15">
      <c r="A7" s="2" t="s">
        <v>325</v>
      </c>
      <c r="B7" s="2"/>
      <c r="C7" s="2" t="s">
        <v>326</v>
      </c>
      <c r="D7" s="2" t="s">
        <v>327</v>
      </c>
      <c r="E7" s="2" t="s">
        <v>328</v>
      </c>
      <c r="F7" s="3" t="s">
        <v>329</v>
      </c>
    </row>
    <row r="8" spans="1:6" ht="15">
      <c r="A8" s="2" t="s">
        <v>35</v>
      </c>
      <c r="B8" s="2"/>
      <c r="C8" s="2" t="s">
        <v>330</v>
      </c>
      <c r="D8" s="2" t="s">
        <v>331</v>
      </c>
      <c r="E8" s="2" t="s">
        <v>332</v>
      </c>
      <c r="F8" s="3" t="s">
        <v>333</v>
      </c>
    </row>
  </sheetData>
  <autoFilter ref="A1:F8" xr:uid="{00000000-0009-0000-0000-000007000000}"/>
  <phoneticPr fontId="3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2" customWidth="1"/>
    <col min="2" max="2" width="18" customWidth="1"/>
    <col min="3" max="7" width="14" customWidth="1"/>
    <col min="8" max="8" width="12" customWidth="1"/>
    <col min="9" max="9" width="22" customWidth="1"/>
    <col min="10" max="11" width="42" customWidth="1"/>
    <col min="12" max="12" width="26" customWidth="1"/>
    <col min="13" max="17" width="14" customWidth="1"/>
    <col min="18" max="18" width="18" customWidth="1"/>
  </cols>
  <sheetData>
    <row r="1" spans="1:18" ht="30">
      <c r="A1" s="1" t="s">
        <v>279</v>
      </c>
      <c r="B1" s="1" t="s">
        <v>334</v>
      </c>
      <c r="C1" s="1" t="s">
        <v>335</v>
      </c>
      <c r="D1" s="1" t="s">
        <v>182</v>
      </c>
      <c r="E1" s="1" t="s">
        <v>336</v>
      </c>
      <c r="F1" s="1" t="s">
        <v>337</v>
      </c>
      <c r="G1" s="1" t="s">
        <v>338</v>
      </c>
      <c r="H1" s="1" t="s">
        <v>339</v>
      </c>
      <c r="I1" s="1" t="s">
        <v>340</v>
      </c>
      <c r="J1" s="1" t="s">
        <v>341</v>
      </c>
      <c r="K1" s="1" t="s">
        <v>35</v>
      </c>
      <c r="L1" s="1" t="s">
        <v>186</v>
      </c>
      <c r="M1" s="1" t="s">
        <v>187</v>
      </c>
      <c r="N1" s="1" t="s">
        <v>342</v>
      </c>
      <c r="O1" s="1" t="s">
        <v>343</v>
      </c>
      <c r="P1" s="1" t="s">
        <v>111</v>
      </c>
      <c r="Q1" s="1" t="s">
        <v>112</v>
      </c>
      <c r="R1" s="1" t="s">
        <v>344</v>
      </c>
    </row>
    <row r="2" spans="1:18" ht="30">
      <c r="A2" s="9" t="s">
        <v>287</v>
      </c>
      <c r="B2" s="3" t="s">
        <v>288</v>
      </c>
      <c r="C2" s="2" t="s">
        <v>345</v>
      </c>
      <c r="D2" s="2" t="s">
        <v>190</v>
      </c>
      <c r="E2" s="2"/>
      <c r="F2" s="2">
        <v>0</v>
      </c>
      <c r="G2" s="10"/>
      <c r="H2" s="11">
        <v>0</v>
      </c>
      <c r="I2" s="3" t="s">
        <v>346</v>
      </c>
      <c r="J2" s="3" t="s">
        <v>347</v>
      </c>
      <c r="K2" s="3" t="s">
        <v>348</v>
      </c>
      <c r="L2" s="3"/>
      <c r="M2" s="4"/>
      <c r="N2" s="5"/>
      <c r="O2" s="5"/>
      <c r="P2" s="5"/>
      <c r="Q2" s="4"/>
      <c r="R2" s="3"/>
    </row>
    <row r="3" spans="1:18" ht="30">
      <c r="A3" s="9" t="s">
        <v>291</v>
      </c>
      <c r="B3" s="3" t="s">
        <v>292</v>
      </c>
      <c r="C3" s="2" t="s">
        <v>345</v>
      </c>
      <c r="D3" s="2" t="s">
        <v>349</v>
      </c>
      <c r="E3" s="2"/>
      <c r="F3" s="2">
        <v>0</v>
      </c>
      <c r="G3" s="10"/>
      <c r="H3" s="11">
        <v>0</v>
      </c>
      <c r="I3" s="3" t="s">
        <v>346</v>
      </c>
      <c r="J3" s="3" t="s">
        <v>347</v>
      </c>
      <c r="K3" s="3" t="s">
        <v>348</v>
      </c>
      <c r="L3" s="3"/>
      <c r="M3" s="4"/>
      <c r="N3" s="5"/>
      <c r="O3" s="5"/>
      <c r="P3" s="5"/>
      <c r="Q3" s="4"/>
      <c r="R3" s="3"/>
    </row>
    <row r="4" spans="1:18" ht="30">
      <c r="A4" s="9" t="s">
        <v>293</v>
      </c>
      <c r="B4" s="3" t="s">
        <v>294</v>
      </c>
      <c r="C4" s="2" t="s">
        <v>345</v>
      </c>
      <c r="D4" s="2" t="s">
        <v>190</v>
      </c>
      <c r="E4" s="2"/>
      <c r="F4" s="2">
        <v>0</v>
      </c>
      <c r="G4" s="10"/>
      <c r="H4" s="11">
        <v>0</v>
      </c>
      <c r="I4" s="3" t="s">
        <v>346</v>
      </c>
      <c r="J4" s="3" t="s">
        <v>347</v>
      </c>
      <c r="K4" s="3" t="s">
        <v>348</v>
      </c>
      <c r="L4" s="3"/>
      <c r="M4" s="4"/>
      <c r="N4" s="5"/>
      <c r="O4" s="5"/>
      <c r="P4" s="5"/>
      <c r="Q4" s="4"/>
      <c r="R4" s="3"/>
    </row>
    <row r="5" spans="1:18" ht="30">
      <c r="A5" s="9" t="s">
        <v>296</v>
      </c>
      <c r="B5" s="3" t="s">
        <v>297</v>
      </c>
      <c r="C5" s="2" t="s">
        <v>345</v>
      </c>
      <c r="D5" s="2" t="s">
        <v>349</v>
      </c>
      <c r="E5" s="2"/>
      <c r="F5" s="2">
        <v>0</v>
      </c>
      <c r="G5" s="10"/>
      <c r="H5" s="11">
        <v>0</v>
      </c>
      <c r="I5" s="3" t="s">
        <v>346</v>
      </c>
      <c r="J5" s="3" t="s">
        <v>347</v>
      </c>
      <c r="K5" s="3" t="s">
        <v>348</v>
      </c>
      <c r="L5" s="3"/>
      <c r="M5" s="4"/>
      <c r="N5" s="5"/>
      <c r="O5" s="5"/>
      <c r="P5" s="5"/>
      <c r="Q5" s="4"/>
      <c r="R5" s="3"/>
    </row>
    <row r="6" spans="1:18" ht="30">
      <c r="A6" s="9" t="s">
        <v>298</v>
      </c>
      <c r="B6" s="3" t="s">
        <v>299</v>
      </c>
      <c r="C6" s="2" t="s">
        <v>345</v>
      </c>
      <c r="D6" s="2" t="s">
        <v>349</v>
      </c>
      <c r="E6" s="2"/>
      <c r="F6" s="2">
        <v>0</v>
      </c>
      <c r="G6" s="10"/>
      <c r="H6" s="11">
        <v>0</v>
      </c>
      <c r="I6" s="3" t="s">
        <v>346</v>
      </c>
      <c r="J6" s="3" t="s">
        <v>347</v>
      </c>
      <c r="K6" s="3" t="s">
        <v>348</v>
      </c>
      <c r="L6" s="3"/>
      <c r="M6" s="4"/>
      <c r="N6" s="5"/>
      <c r="O6" s="5"/>
      <c r="P6" s="5"/>
      <c r="Q6" s="4"/>
      <c r="R6" s="3"/>
    </row>
    <row r="7" spans="1:18" ht="30">
      <c r="A7" s="9" t="s">
        <v>124</v>
      </c>
      <c r="B7" s="3" t="s">
        <v>350</v>
      </c>
      <c r="C7" s="2" t="s">
        <v>351</v>
      </c>
      <c r="D7" s="2" t="s">
        <v>256</v>
      </c>
      <c r="E7" s="2">
        <v>5</v>
      </c>
      <c r="F7" s="2">
        <v>7</v>
      </c>
      <c r="G7" s="10"/>
      <c r="H7" s="11">
        <v>0.7</v>
      </c>
      <c r="I7" s="3" t="s">
        <v>352</v>
      </c>
      <c r="J7" s="3" t="s">
        <v>353</v>
      </c>
      <c r="K7" s="3" t="s">
        <v>348</v>
      </c>
      <c r="L7" s="3" t="s">
        <v>122</v>
      </c>
      <c r="M7" s="4">
        <v>0.08</v>
      </c>
      <c r="N7" s="5">
        <v>382640</v>
      </c>
      <c r="O7" s="5">
        <v>60640</v>
      </c>
      <c r="P7" s="5">
        <v>322000</v>
      </c>
      <c r="Q7" s="4">
        <v>0.15847794271377799</v>
      </c>
      <c r="R7" s="3" t="s">
        <v>126</v>
      </c>
    </row>
    <row r="8" spans="1:18" ht="30">
      <c r="A8" s="9" t="s">
        <v>133</v>
      </c>
      <c r="B8" s="3" t="s">
        <v>354</v>
      </c>
      <c r="C8" s="2" t="s">
        <v>351</v>
      </c>
      <c r="D8" s="2" t="s">
        <v>261</v>
      </c>
      <c r="E8" s="2">
        <v>5</v>
      </c>
      <c r="F8" s="2">
        <v>7</v>
      </c>
      <c r="G8" s="10"/>
      <c r="H8" s="11">
        <v>0.7</v>
      </c>
      <c r="I8" s="3" t="s">
        <v>352</v>
      </c>
      <c r="J8" s="3" t="s">
        <v>353</v>
      </c>
      <c r="K8" s="3" t="s">
        <v>348</v>
      </c>
      <c r="L8" s="3" t="s">
        <v>131</v>
      </c>
      <c r="M8" s="4">
        <v>0.08</v>
      </c>
      <c r="N8" s="5">
        <v>382640</v>
      </c>
      <c r="O8" s="5">
        <v>139459.20000000001</v>
      </c>
      <c r="P8" s="5">
        <v>243180.79999999999</v>
      </c>
      <c r="Q8" s="4">
        <v>0.36446581643320097</v>
      </c>
      <c r="R8" s="3" t="s">
        <v>126</v>
      </c>
    </row>
    <row r="9" spans="1:18" ht="30">
      <c r="A9" s="9" t="s">
        <v>137</v>
      </c>
      <c r="B9" s="3" t="s">
        <v>355</v>
      </c>
      <c r="C9" s="2" t="s">
        <v>351</v>
      </c>
      <c r="D9" s="2" t="s">
        <v>259</v>
      </c>
      <c r="E9" s="2">
        <v>3</v>
      </c>
      <c r="F9" s="2">
        <v>7</v>
      </c>
      <c r="G9" s="10"/>
      <c r="H9" s="11">
        <v>0.7</v>
      </c>
      <c r="I9" s="3" t="s">
        <v>352</v>
      </c>
      <c r="J9" s="3" t="s">
        <v>356</v>
      </c>
      <c r="K9" s="3" t="s">
        <v>348</v>
      </c>
      <c r="L9" s="3" t="s">
        <v>136</v>
      </c>
      <c r="M9" s="4">
        <v>0.06</v>
      </c>
      <c r="N9" s="5">
        <v>286980</v>
      </c>
      <c r="O9" s="5">
        <v>21675</v>
      </c>
      <c r="P9" s="5">
        <v>265305</v>
      </c>
      <c r="Q9" s="4">
        <v>7.5527911352707505E-2</v>
      </c>
      <c r="R9" s="3" t="s">
        <v>126</v>
      </c>
    </row>
    <row r="10" spans="1:18" ht="30">
      <c r="A10" s="9" t="s">
        <v>357</v>
      </c>
      <c r="B10" s="3" t="s">
        <v>358</v>
      </c>
      <c r="C10" s="2" t="s">
        <v>351</v>
      </c>
      <c r="D10" s="2" t="s">
        <v>259</v>
      </c>
      <c r="E10" s="2">
        <v>3</v>
      </c>
      <c r="F10" s="2">
        <v>7</v>
      </c>
      <c r="G10" s="10"/>
      <c r="H10" s="11">
        <v>0.7</v>
      </c>
      <c r="I10" s="3" t="s">
        <v>352</v>
      </c>
      <c r="J10" s="3" t="s">
        <v>356</v>
      </c>
      <c r="K10" s="3" t="s">
        <v>348</v>
      </c>
      <c r="L10" s="3"/>
      <c r="M10" s="4"/>
      <c r="N10" s="5"/>
      <c r="O10" s="5"/>
      <c r="P10" s="5"/>
      <c r="Q10" s="4"/>
      <c r="R10" s="3"/>
    </row>
    <row r="11" spans="1:18" ht="30">
      <c r="A11" s="9" t="s">
        <v>153</v>
      </c>
      <c r="B11" s="3" t="s">
        <v>151</v>
      </c>
      <c r="C11" s="2" t="s">
        <v>351</v>
      </c>
      <c r="D11" s="2" t="s">
        <v>259</v>
      </c>
      <c r="E11" s="2">
        <v>4</v>
      </c>
      <c r="F11" s="2">
        <v>7</v>
      </c>
      <c r="G11" s="10"/>
      <c r="H11" s="11">
        <v>0.7</v>
      </c>
      <c r="I11" s="3" t="s">
        <v>352</v>
      </c>
      <c r="J11" s="3" t="s">
        <v>359</v>
      </c>
      <c r="K11" s="3" t="s">
        <v>348</v>
      </c>
      <c r="L11" s="3" t="s">
        <v>151</v>
      </c>
      <c r="M11" s="4">
        <v>0.03</v>
      </c>
      <c r="N11" s="5">
        <v>143490</v>
      </c>
      <c r="O11" s="5">
        <v>63344</v>
      </c>
      <c r="P11" s="5">
        <v>80146</v>
      </c>
      <c r="Q11" s="4">
        <v>0.44145236601853788</v>
      </c>
      <c r="R11" s="3" t="s">
        <v>126</v>
      </c>
    </row>
    <row r="12" spans="1:18" ht="30">
      <c r="A12" s="9" t="s">
        <v>141</v>
      </c>
      <c r="B12" s="3" t="s">
        <v>360</v>
      </c>
      <c r="C12" s="2" t="s">
        <v>351</v>
      </c>
      <c r="D12" s="2" t="s">
        <v>263</v>
      </c>
      <c r="E12" s="2">
        <v>3</v>
      </c>
      <c r="F12" s="2">
        <v>7</v>
      </c>
      <c r="G12" s="10"/>
      <c r="H12" s="11">
        <v>0.7</v>
      </c>
      <c r="I12" s="3" t="s">
        <v>352</v>
      </c>
      <c r="J12" s="3" t="s">
        <v>356</v>
      </c>
      <c r="K12" s="3" t="s">
        <v>348</v>
      </c>
      <c r="L12" s="3" t="s">
        <v>139</v>
      </c>
      <c r="M12" s="4">
        <v>0.02</v>
      </c>
      <c r="N12" s="5">
        <v>95660</v>
      </c>
      <c r="O12" s="5">
        <v>0</v>
      </c>
      <c r="P12" s="5">
        <v>95660</v>
      </c>
      <c r="Q12" s="4">
        <v>0</v>
      </c>
      <c r="R12" s="3" t="s">
        <v>126</v>
      </c>
    </row>
    <row r="13" spans="1:18" ht="30">
      <c r="A13" s="9" t="s">
        <v>361</v>
      </c>
      <c r="B13" s="3" t="s">
        <v>156</v>
      </c>
      <c r="C13" s="2" t="s">
        <v>351</v>
      </c>
      <c r="D13" s="2" t="s">
        <v>190</v>
      </c>
      <c r="E13" s="2">
        <v>3</v>
      </c>
      <c r="F13" s="2">
        <v>7</v>
      </c>
      <c r="G13" s="10"/>
      <c r="H13" s="11">
        <v>0.7</v>
      </c>
      <c r="I13" s="3" t="s">
        <v>352</v>
      </c>
      <c r="J13" s="3" t="s">
        <v>356</v>
      </c>
      <c r="K13" s="3" t="s">
        <v>348</v>
      </c>
      <c r="L13" s="3" t="s">
        <v>156</v>
      </c>
      <c r="M13" s="4">
        <v>0.08</v>
      </c>
      <c r="N13" s="5">
        <v>382640</v>
      </c>
      <c r="O13" s="5">
        <v>109274.2</v>
      </c>
      <c r="P13" s="5">
        <v>273365.8</v>
      </c>
      <c r="Q13" s="4">
        <v>0.28557965711896299</v>
      </c>
      <c r="R13" s="3" t="s">
        <v>126</v>
      </c>
    </row>
    <row r="14" spans="1:18" ht="30">
      <c r="A14" s="9" t="s">
        <v>162</v>
      </c>
      <c r="B14" s="3" t="s">
        <v>161</v>
      </c>
      <c r="C14" s="2" t="s">
        <v>351</v>
      </c>
      <c r="D14" s="2" t="s">
        <v>190</v>
      </c>
      <c r="E14" s="2">
        <v>3</v>
      </c>
      <c r="F14" s="2">
        <v>7</v>
      </c>
      <c r="G14" s="10"/>
      <c r="H14" s="11">
        <v>0.7</v>
      </c>
      <c r="I14" s="3" t="s">
        <v>352</v>
      </c>
      <c r="J14" s="3" t="s">
        <v>356</v>
      </c>
      <c r="K14" s="3" t="s">
        <v>348</v>
      </c>
      <c r="L14" s="3" t="s">
        <v>161</v>
      </c>
      <c r="M14" s="4">
        <v>0.05</v>
      </c>
      <c r="N14" s="5">
        <v>239150</v>
      </c>
      <c r="O14" s="5">
        <v>42370</v>
      </c>
      <c r="P14" s="5">
        <v>196780</v>
      </c>
      <c r="Q14" s="4">
        <v>0.17716914070666939</v>
      </c>
      <c r="R14" s="3" t="s">
        <v>126</v>
      </c>
    </row>
    <row r="15" spans="1:18" ht="30">
      <c r="A15" s="9" t="s">
        <v>167</v>
      </c>
      <c r="B15" s="3" t="s">
        <v>165</v>
      </c>
      <c r="C15" s="2" t="s">
        <v>351</v>
      </c>
      <c r="D15" s="2" t="s">
        <v>190</v>
      </c>
      <c r="E15" s="2">
        <v>3</v>
      </c>
      <c r="F15" s="2">
        <v>7</v>
      </c>
      <c r="G15" s="10"/>
      <c r="H15" s="11">
        <v>0.7</v>
      </c>
      <c r="I15" s="3" t="s">
        <v>352</v>
      </c>
      <c r="J15" s="3" t="s">
        <v>356</v>
      </c>
      <c r="K15" s="3" t="s">
        <v>348</v>
      </c>
      <c r="L15" s="3" t="s">
        <v>165</v>
      </c>
      <c r="M15" s="4">
        <v>0.1</v>
      </c>
      <c r="N15" s="5">
        <v>478300</v>
      </c>
      <c r="O15" s="5">
        <v>38499</v>
      </c>
      <c r="P15" s="5">
        <v>439801</v>
      </c>
      <c r="Q15" s="4">
        <v>8.0491323437173329E-2</v>
      </c>
      <c r="R15" s="3" t="s">
        <v>126</v>
      </c>
    </row>
    <row r="16" spans="1:18" ht="30">
      <c r="A16" s="9" t="s">
        <v>362</v>
      </c>
      <c r="B16" s="3" t="s">
        <v>363</v>
      </c>
      <c r="C16" s="2" t="s">
        <v>351</v>
      </c>
      <c r="D16" s="2" t="s">
        <v>190</v>
      </c>
      <c r="E16" s="2">
        <v>3</v>
      </c>
      <c r="F16" s="2">
        <v>7</v>
      </c>
      <c r="G16" s="10"/>
      <c r="H16" s="11">
        <v>0.7</v>
      </c>
      <c r="I16" s="3" t="s">
        <v>352</v>
      </c>
      <c r="J16" s="3" t="s">
        <v>356</v>
      </c>
      <c r="K16" s="3" t="s">
        <v>348</v>
      </c>
      <c r="L16" s="3"/>
      <c r="M16" s="4"/>
      <c r="N16" s="5"/>
      <c r="O16" s="5"/>
      <c r="P16" s="5"/>
      <c r="Q16" s="4"/>
      <c r="R16" s="3"/>
    </row>
    <row r="17" spans="1:18" ht="30">
      <c r="A17" s="9" t="s">
        <v>364</v>
      </c>
      <c r="B17" s="3" t="s">
        <v>365</v>
      </c>
      <c r="C17" s="2" t="s">
        <v>366</v>
      </c>
      <c r="D17" s="2" t="s">
        <v>196</v>
      </c>
      <c r="E17" s="2">
        <v>1</v>
      </c>
      <c r="F17" s="2">
        <v>5</v>
      </c>
      <c r="G17" s="10"/>
      <c r="H17" s="11">
        <v>0.5</v>
      </c>
      <c r="I17" s="3" t="s">
        <v>352</v>
      </c>
      <c r="J17" s="3" t="s">
        <v>367</v>
      </c>
      <c r="K17" s="3" t="s">
        <v>348</v>
      </c>
      <c r="L17" s="3" t="s">
        <v>145</v>
      </c>
      <c r="M17" s="4">
        <v>0.03</v>
      </c>
      <c r="N17" s="5">
        <v>143490</v>
      </c>
      <c r="O17" s="5">
        <v>191942.39999999999</v>
      </c>
      <c r="P17" s="5">
        <v>-48452.399999999987</v>
      </c>
      <c r="Q17" s="4">
        <v>1.3376709178339949</v>
      </c>
      <c r="R17" s="3" t="s">
        <v>148</v>
      </c>
    </row>
    <row r="18" spans="1:18" ht="30">
      <c r="A18" s="9" t="s">
        <v>368</v>
      </c>
      <c r="B18" s="3" t="s">
        <v>369</v>
      </c>
      <c r="C18" s="2" t="s">
        <v>366</v>
      </c>
      <c r="D18" s="2" t="s">
        <v>259</v>
      </c>
      <c r="E18" s="2">
        <v>1</v>
      </c>
      <c r="F18" s="2">
        <v>5</v>
      </c>
      <c r="G18" s="10"/>
      <c r="H18" s="11">
        <v>0.5</v>
      </c>
      <c r="I18" s="3" t="s">
        <v>352</v>
      </c>
      <c r="J18" s="3" t="s">
        <v>367</v>
      </c>
      <c r="K18" s="3" t="s">
        <v>348</v>
      </c>
      <c r="L18" s="3"/>
      <c r="M18" s="4"/>
      <c r="N18" s="5"/>
      <c r="O18" s="5"/>
      <c r="P18" s="5"/>
      <c r="Q18" s="4"/>
      <c r="R18" s="3"/>
    </row>
    <row r="19" spans="1:18" ht="30">
      <c r="A19" s="9" t="s">
        <v>370</v>
      </c>
      <c r="B19" s="3" t="s">
        <v>371</v>
      </c>
      <c r="C19" s="2" t="s">
        <v>351</v>
      </c>
      <c r="D19" s="2" t="s">
        <v>196</v>
      </c>
      <c r="E19" s="2">
        <v>3</v>
      </c>
      <c r="F19" s="2">
        <v>7</v>
      </c>
      <c r="G19" s="10"/>
      <c r="H19" s="11">
        <v>0.7</v>
      </c>
      <c r="I19" s="3" t="s">
        <v>352</v>
      </c>
      <c r="J19" s="3" t="s">
        <v>356</v>
      </c>
      <c r="K19" s="3" t="s">
        <v>348</v>
      </c>
      <c r="L19" s="3" t="s">
        <v>145</v>
      </c>
      <c r="M19" s="4">
        <v>0.03</v>
      </c>
      <c r="N19" s="5">
        <v>143490</v>
      </c>
      <c r="O19" s="5">
        <v>191942.39999999999</v>
      </c>
      <c r="P19" s="5">
        <v>-48452.399999999987</v>
      </c>
      <c r="Q19" s="4">
        <v>1.3376709178339949</v>
      </c>
      <c r="R19" s="3" t="s">
        <v>148</v>
      </c>
    </row>
    <row r="20" spans="1:18" ht="30">
      <c r="A20" s="9" t="s">
        <v>372</v>
      </c>
      <c r="B20" s="3" t="s">
        <v>373</v>
      </c>
      <c r="C20" s="2" t="s">
        <v>351</v>
      </c>
      <c r="D20" s="2" t="s">
        <v>196</v>
      </c>
      <c r="E20" s="2">
        <v>3</v>
      </c>
      <c r="F20" s="2">
        <v>7</v>
      </c>
      <c r="G20" s="10"/>
      <c r="H20" s="11">
        <v>0.7</v>
      </c>
      <c r="I20" s="3" t="s">
        <v>352</v>
      </c>
      <c r="J20" s="3" t="s">
        <v>356</v>
      </c>
      <c r="K20" s="3" t="s">
        <v>348</v>
      </c>
      <c r="L20" s="3" t="s">
        <v>145</v>
      </c>
      <c r="M20" s="4">
        <v>0.03</v>
      </c>
      <c r="N20" s="5">
        <v>143490</v>
      </c>
      <c r="O20" s="5">
        <v>191942.39999999999</v>
      </c>
      <c r="P20" s="5">
        <v>-48452.399999999987</v>
      </c>
      <c r="Q20" s="4">
        <v>1.3376709178339949</v>
      </c>
      <c r="R20" s="3" t="s">
        <v>148</v>
      </c>
    </row>
  </sheetData>
  <autoFilter ref="A1:R20" xr:uid="{00000000-0009-0000-0000-000008000000}"/>
  <phoneticPr fontId="3" type="noConversion"/>
  <conditionalFormatting sqref="G2:G20">
    <cfRule type="colorScale" priority="1">
      <colorScale>
        <cfvo type="num" val="0"/>
        <cfvo type="num" val="6"/>
        <cfvo type="num" val="10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2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2" width="14" customWidth="1"/>
    <col min="3" max="3" width="12" customWidth="1"/>
    <col min="4" max="4" width="18" customWidth="1"/>
    <col min="5" max="5" width="14" customWidth="1"/>
    <col min="6" max="7" width="16" customWidth="1"/>
    <col min="8" max="8" width="12" customWidth="1"/>
    <col min="9" max="9" width="14" customWidth="1"/>
    <col min="10" max="10" width="16" customWidth="1"/>
    <col min="11" max="11" width="14" customWidth="1"/>
    <col min="12" max="12" width="18" customWidth="1"/>
    <col min="13" max="13" width="14" customWidth="1"/>
    <col min="14" max="14" width="26" customWidth="1"/>
    <col min="15" max="19" width="14" customWidth="1"/>
    <col min="20" max="20" width="18" customWidth="1"/>
  </cols>
  <sheetData>
    <row r="1" spans="1:20" ht="30">
      <c r="A1" s="1" t="s">
        <v>374</v>
      </c>
      <c r="B1" s="1" t="s">
        <v>375</v>
      </c>
      <c r="C1" s="1" t="s">
        <v>279</v>
      </c>
      <c r="D1" s="1" t="s">
        <v>334</v>
      </c>
      <c r="E1" s="1" t="s">
        <v>376</v>
      </c>
      <c r="F1" s="1" t="s">
        <v>377</v>
      </c>
      <c r="G1" s="1" t="s">
        <v>378</v>
      </c>
      <c r="H1" s="1" t="s">
        <v>379</v>
      </c>
      <c r="I1" s="1" t="s">
        <v>380</v>
      </c>
      <c r="J1" s="1" t="s">
        <v>381</v>
      </c>
      <c r="K1" s="1" t="s">
        <v>382</v>
      </c>
      <c r="L1" s="1" t="s">
        <v>383</v>
      </c>
      <c r="M1" s="1" t="s">
        <v>384</v>
      </c>
      <c r="N1" s="1" t="s">
        <v>186</v>
      </c>
      <c r="O1" s="1" t="s">
        <v>187</v>
      </c>
      <c r="P1" s="1" t="s">
        <v>342</v>
      </c>
      <c r="Q1" s="1" t="s">
        <v>343</v>
      </c>
      <c r="R1" s="1" t="s">
        <v>111</v>
      </c>
      <c r="S1" s="1" t="s">
        <v>112</v>
      </c>
      <c r="T1" s="1" t="s">
        <v>344</v>
      </c>
    </row>
    <row r="2" spans="1:20" ht="30">
      <c r="A2" s="2" t="s">
        <v>385</v>
      </c>
      <c r="B2" s="2" t="s">
        <v>264</v>
      </c>
      <c r="C2" s="9"/>
      <c r="D2" s="3" t="s">
        <v>386</v>
      </c>
      <c r="E2" s="2">
        <v>340393.42</v>
      </c>
      <c r="F2" s="4">
        <v>0.32584723762211498</v>
      </c>
      <c r="G2" s="4">
        <v>7.1167346853439256E-2</v>
      </c>
      <c r="H2" s="4">
        <v>0.26</v>
      </c>
      <c r="I2" s="4">
        <v>0.45</v>
      </c>
      <c r="J2" s="4">
        <v>0.37883265314656078</v>
      </c>
      <c r="K2" s="12" t="s">
        <v>387</v>
      </c>
      <c r="L2" s="3" t="s">
        <v>388</v>
      </c>
      <c r="M2" s="2" t="s">
        <v>389</v>
      </c>
      <c r="N2" s="3"/>
      <c r="O2" s="4"/>
      <c r="P2" s="5"/>
      <c r="Q2" s="5"/>
      <c r="R2" s="5"/>
      <c r="S2" s="4"/>
      <c r="T2" s="3"/>
    </row>
    <row r="3" spans="1:20" ht="15">
      <c r="A3" s="2" t="s">
        <v>390</v>
      </c>
      <c r="B3" s="2" t="s">
        <v>259</v>
      </c>
      <c r="C3" s="9"/>
      <c r="D3" s="3" t="s">
        <v>391</v>
      </c>
      <c r="E3" s="2">
        <v>140294.22</v>
      </c>
      <c r="F3" s="4">
        <v>0.13429896512497011</v>
      </c>
      <c r="G3" s="4">
        <v>2.9331846121680952E-2</v>
      </c>
      <c r="H3" s="4">
        <v>7.0000000000000007E-2</v>
      </c>
      <c r="I3" s="4">
        <v>0.15</v>
      </c>
      <c r="J3" s="4">
        <v>0.120668153878319</v>
      </c>
      <c r="K3" s="12" t="s">
        <v>387</v>
      </c>
      <c r="L3" s="3" t="s">
        <v>388</v>
      </c>
      <c r="M3" s="2" t="s">
        <v>392</v>
      </c>
      <c r="N3" s="3"/>
      <c r="O3" s="4"/>
      <c r="P3" s="5"/>
      <c r="Q3" s="5"/>
      <c r="R3" s="5"/>
      <c r="S3" s="4"/>
      <c r="T3" s="3"/>
    </row>
    <row r="4" spans="1:20" ht="30">
      <c r="A4" s="2" t="s">
        <v>390</v>
      </c>
      <c r="B4" s="2" t="s">
        <v>256</v>
      </c>
      <c r="C4" s="9"/>
      <c r="D4" s="3" t="s">
        <v>393</v>
      </c>
      <c r="E4" s="2">
        <v>60640</v>
      </c>
      <c r="F4" s="4">
        <v>5.8048644093663899E-2</v>
      </c>
      <c r="G4" s="4">
        <v>1.2678235417102239E-2</v>
      </c>
      <c r="H4" s="4">
        <v>0.05</v>
      </c>
      <c r="I4" s="4">
        <v>0.18</v>
      </c>
      <c r="J4" s="4">
        <v>0.1673217645828978</v>
      </c>
      <c r="K4" s="12" t="s">
        <v>387</v>
      </c>
      <c r="L4" s="3" t="s">
        <v>388</v>
      </c>
      <c r="M4" s="2" t="s">
        <v>392</v>
      </c>
      <c r="N4" s="3"/>
      <c r="O4" s="4"/>
      <c r="P4" s="5"/>
      <c r="Q4" s="5"/>
      <c r="R4" s="5"/>
      <c r="S4" s="4"/>
      <c r="T4" s="3"/>
    </row>
    <row r="5" spans="1:20" ht="15">
      <c r="A5" s="2" t="s">
        <v>390</v>
      </c>
      <c r="B5" s="2" t="s">
        <v>196</v>
      </c>
      <c r="C5" s="9"/>
      <c r="D5" s="3" t="s">
        <v>394</v>
      </c>
      <c r="E5" s="2">
        <v>191942.39999999999</v>
      </c>
      <c r="F5" s="4">
        <v>0.18374004063462521</v>
      </c>
      <c r="G5" s="4">
        <v>4.0130127535019863E-2</v>
      </c>
      <c r="H5" s="4">
        <v>0.1</v>
      </c>
      <c r="I5" s="4">
        <v>0.25</v>
      </c>
      <c r="J5" s="4">
        <v>0.2098698724649801</v>
      </c>
      <c r="K5" s="12" t="s">
        <v>387</v>
      </c>
      <c r="L5" s="3" t="s">
        <v>388</v>
      </c>
      <c r="M5" s="2" t="s">
        <v>392</v>
      </c>
      <c r="N5" s="3"/>
      <c r="O5" s="4"/>
      <c r="P5" s="5"/>
      <c r="Q5" s="5"/>
      <c r="R5" s="5"/>
      <c r="S5" s="4"/>
      <c r="T5" s="3"/>
    </row>
    <row r="6" spans="1:20" ht="15">
      <c r="A6" s="2" t="s">
        <v>390</v>
      </c>
      <c r="B6" s="2" t="s">
        <v>261</v>
      </c>
      <c r="C6" s="9"/>
      <c r="D6" s="3" t="s">
        <v>395</v>
      </c>
      <c r="E6" s="2">
        <v>139459.20000000001</v>
      </c>
      <c r="F6" s="4">
        <v>0.13349962840348109</v>
      </c>
      <c r="G6" s="4">
        <v>2.9157265314656081E-2</v>
      </c>
      <c r="H6" s="4">
        <v>0.14000000000000001</v>
      </c>
      <c r="I6" s="4">
        <v>0.18</v>
      </c>
      <c r="J6" s="4">
        <v>0.1508427346853439</v>
      </c>
      <c r="K6" s="12" t="s">
        <v>387</v>
      </c>
      <c r="L6" s="3" t="s">
        <v>388</v>
      </c>
      <c r="M6" s="2" t="s">
        <v>392</v>
      </c>
      <c r="N6" s="3"/>
      <c r="O6" s="4"/>
      <c r="P6" s="5"/>
      <c r="Q6" s="5"/>
      <c r="R6" s="5"/>
      <c r="S6" s="4"/>
      <c r="T6" s="3"/>
    </row>
    <row r="7" spans="1:20" ht="15">
      <c r="A7" s="2" t="s">
        <v>390</v>
      </c>
      <c r="B7" s="2" t="s">
        <v>190</v>
      </c>
      <c r="C7" s="9"/>
      <c r="D7" s="3" t="s">
        <v>396</v>
      </c>
      <c r="E7" s="2">
        <v>246698.4</v>
      </c>
      <c r="F7" s="4">
        <v>0.23615612829941179</v>
      </c>
      <c r="G7" s="4">
        <v>5.1578172694961323E-2</v>
      </c>
      <c r="H7" s="4">
        <v>0.23</v>
      </c>
      <c r="I7" s="4"/>
      <c r="J7" s="4"/>
      <c r="K7" s="2" t="s">
        <v>397</v>
      </c>
      <c r="L7" s="3" t="s">
        <v>388</v>
      </c>
      <c r="M7" s="2" t="s">
        <v>392</v>
      </c>
      <c r="N7" s="3"/>
      <c r="O7" s="4"/>
      <c r="P7" s="5"/>
      <c r="Q7" s="5"/>
      <c r="R7" s="5"/>
      <c r="S7" s="4"/>
      <c r="T7" s="3"/>
    </row>
    <row r="8" spans="1:20" ht="30">
      <c r="A8" s="2" t="s">
        <v>181</v>
      </c>
      <c r="B8" s="2" t="s">
        <v>261</v>
      </c>
      <c r="C8" s="9" t="s">
        <v>133</v>
      </c>
      <c r="D8" s="3" t="s">
        <v>354</v>
      </c>
      <c r="E8" s="2">
        <v>139459.20000000001</v>
      </c>
      <c r="F8" s="4">
        <v>0.13349962840348109</v>
      </c>
      <c r="G8" s="4">
        <v>2.9157265314656081E-2</v>
      </c>
      <c r="H8" s="4">
        <v>0.14000000000000001</v>
      </c>
      <c r="I8" s="4"/>
      <c r="J8" s="4"/>
      <c r="K8" s="2" t="s">
        <v>398</v>
      </c>
      <c r="L8" s="3" t="s">
        <v>399</v>
      </c>
      <c r="M8" s="2" t="s">
        <v>400</v>
      </c>
      <c r="N8" s="3" t="s">
        <v>131</v>
      </c>
      <c r="O8" s="4">
        <v>0.08</v>
      </c>
      <c r="P8" s="5">
        <v>382640</v>
      </c>
      <c r="Q8" s="5">
        <v>139459.20000000001</v>
      </c>
      <c r="R8" s="5">
        <v>243180.79999999999</v>
      </c>
      <c r="S8" s="4">
        <v>0.36446581643320097</v>
      </c>
      <c r="T8" s="3" t="s">
        <v>126</v>
      </c>
    </row>
    <row r="9" spans="1:20" ht="30">
      <c r="A9" s="2" t="s">
        <v>181</v>
      </c>
      <c r="B9" s="2" t="s">
        <v>196</v>
      </c>
      <c r="C9" s="9" t="s">
        <v>364</v>
      </c>
      <c r="D9" s="3" t="s">
        <v>365</v>
      </c>
      <c r="E9" s="2">
        <v>97504</v>
      </c>
      <c r="F9" s="4">
        <v>9.3337318497833194E-2</v>
      </c>
      <c r="G9" s="4">
        <v>2.038553209282877E-2</v>
      </c>
      <c r="H9" s="4">
        <v>0.05</v>
      </c>
      <c r="I9" s="4"/>
      <c r="J9" s="4"/>
      <c r="K9" s="2" t="s">
        <v>398</v>
      </c>
      <c r="L9" s="3" t="s">
        <v>399</v>
      </c>
      <c r="M9" s="2" t="s">
        <v>401</v>
      </c>
      <c r="N9" s="3" t="s">
        <v>145</v>
      </c>
      <c r="O9" s="4">
        <v>0.03</v>
      </c>
      <c r="P9" s="5">
        <v>143490</v>
      </c>
      <c r="Q9" s="5">
        <v>191942.39999999999</v>
      </c>
      <c r="R9" s="5">
        <v>-48452.399999999987</v>
      </c>
      <c r="S9" s="4">
        <v>1.3376709178339949</v>
      </c>
      <c r="T9" s="3" t="s">
        <v>148</v>
      </c>
    </row>
    <row r="10" spans="1:20" ht="30">
      <c r="A10" s="2" t="s">
        <v>181</v>
      </c>
      <c r="B10" s="2" t="s">
        <v>190</v>
      </c>
      <c r="C10" s="9" t="s">
        <v>361</v>
      </c>
      <c r="D10" s="3" t="s">
        <v>156</v>
      </c>
      <c r="E10" s="2">
        <v>73294.2</v>
      </c>
      <c r="F10" s="4">
        <v>7.0162086575359842E-2</v>
      </c>
      <c r="G10" s="4">
        <v>1.5323897135688901E-2</v>
      </c>
      <c r="H10" s="4">
        <v>0.06</v>
      </c>
      <c r="I10" s="4"/>
      <c r="J10" s="4"/>
      <c r="K10" s="2" t="s">
        <v>398</v>
      </c>
      <c r="L10" s="3" t="s">
        <v>399</v>
      </c>
      <c r="M10" s="2" t="s">
        <v>401</v>
      </c>
      <c r="N10" s="3" t="s">
        <v>156</v>
      </c>
      <c r="O10" s="4">
        <v>0.08</v>
      </c>
      <c r="P10" s="5">
        <v>382640</v>
      </c>
      <c r="Q10" s="5">
        <v>109274.2</v>
      </c>
      <c r="R10" s="5">
        <v>273365.8</v>
      </c>
      <c r="S10" s="4">
        <v>0.28557965711896299</v>
      </c>
      <c r="T10" s="3" t="s">
        <v>126</v>
      </c>
    </row>
    <row r="11" spans="1:20" ht="30">
      <c r="A11" s="2" t="s">
        <v>181</v>
      </c>
      <c r="B11" s="2" t="s">
        <v>259</v>
      </c>
      <c r="C11" s="9" t="s">
        <v>153</v>
      </c>
      <c r="D11" s="3" t="s">
        <v>151</v>
      </c>
      <c r="E11" s="2">
        <v>63344</v>
      </c>
      <c r="F11" s="4">
        <v>6.0637092867233608E-2</v>
      </c>
      <c r="G11" s="4">
        <v>1.3243570980556139E-2</v>
      </c>
      <c r="H11" s="4">
        <v>0.03</v>
      </c>
      <c r="I11" s="4"/>
      <c r="J11" s="4"/>
      <c r="K11" s="2" t="s">
        <v>398</v>
      </c>
      <c r="L11" s="3" t="s">
        <v>399</v>
      </c>
      <c r="M11" s="2" t="s">
        <v>401</v>
      </c>
      <c r="N11" s="3" t="s">
        <v>151</v>
      </c>
      <c r="O11" s="4">
        <v>0.03</v>
      </c>
      <c r="P11" s="5">
        <v>143490</v>
      </c>
      <c r="Q11" s="5">
        <v>63344</v>
      </c>
      <c r="R11" s="5">
        <v>80146</v>
      </c>
      <c r="S11" s="4">
        <v>0.44145236601853788</v>
      </c>
      <c r="T11" s="3" t="s">
        <v>126</v>
      </c>
    </row>
    <row r="12" spans="1:20" ht="30">
      <c r="A12" s="2" t="s">
        <v>181</v>
      </c>
      <c r="B12" s="2" t="s">
        <v>256</v>
      </c>
      <c r="C12" s="9" t="s">
        <v>124</v>
      </c>
      <c r="D12" s="3" t="s">
        <v>350</v>
      </c>
      <c r="E12" s="2">
        <v>60640</v>
      </c>
      <c r="F12" s="4">
        <v>5.8048644093663899E-2</v>
      </c>
      <c r="G12" s="4">
        <v>1.2678235417102239E-2</v>
      </c>
      <c r="H12" s="4">
        <v>0.05</v>
      </c>
      <c r="I12" s="4"/>
      <c r="J12" s="4"/>
      <c r="K12" s="2" t="s">
        <v>398</v>
      </c>
      <c r="L12" s="3" t="s">
        <v>399</v>
      </c>
      <c r="M12" s="2" t="s">
        <v>401</v>
      </c>
      <c r="N12" s="3" t="s">
        <v>122</v>
      </c>
      <c r="O12" s="4">
        <v>0.08</v>
      </c>
      <c r="P12" s="5">
        <v>382640</v>
      </c>
      <c r="Q12" s="5">
        <v>60640</v>
      </c>
      <c r="R12" s="5">
        <v>322000</v>
      </c>
      <c r="S12" s="4">
        <v>0.15847794271377799</v>
      </c>
      <c r="T12" s="3" t="s">
        <v>126</v>
      </c>
    </row>
    <row r="13" spans="1:20" ht="30">
      <c r="A13" s="2" t="s">
        <v>181</v>
      </c>
      <c r="B13" s="2" t="s">
        <v>190</v>
      </c>
      <c r="C13" s="9" t="s">
        <v>362</v>
      </c>
      <c r="D13" s="3" t="s">
        <v>363</v>
      </c>
      <c r="E13" s="2">
        <v>56555.199999999997</v>
      </c>
      <c r="F13" s="4">
        <v>5.4138401656431079E-2</v>
      </c>
      <c r="G13" s="4">
        <v>1.182421074639348E-2</v>
      </c>
      <c r="H13" s="4">
        <v>0.04</v>
      </c>
      <c r="I13" s="4"/>
      <c r="J13" s="4"/>
      <c r="K13" s="2" t="s">
        <v>398</v>
      </c>
      <c r="L13" s="3" t="s">
        <v>399</v>
      </c>
      <c r="M13" s="2" t="s">
        <v>401</v>
      </c>
      <c r="N13" s="3"/>
      <c r="O13" s="4"/>
      <c r="P13" s="5"/>
      <c r="Q13" s="5"/>
      <c r="R13" s="5"/>
      <c r="S13" s="4"/>
      <c r="T13" s="3"/>
    </row>
    <row r="14" spans="1:20" ht="30">
      <c r="A14" s="2" t="s">
        <v>181</v>
      </c>
      <c r="B14" s="2" t="s">
        <v>259</v>
      </c>
      <c r="C14" s="9" t="s">
        <v>368</v>
      </c>
      <c r="D14" s="3" t="s">
        <v>369</v>
      </c>
      <c r="E14" s="2">
        <v>55275.22</v>
      </c>
      <c r="F14" s="4">
        <v>5.2913119607173043E-2</v>
      </c>
      <c r="G14" s="4">
        <v>1.155660045996237E-2</v>
      </c>
      <c r="H14" s="4">
        <v>0.02</v>
      </c>
      <c r="I14" s="4"/>
      <c r="J14" s="4"/>
      <c r="K14" s="2" t="s">
        <v>398</v>
      </c>
      <c r="L14" s="3" t="s">
        <v>399</v>
      </c>
      <c r="M14" s="2" t="s">
        <v>401</v>
      </c>
      <c r="N14" s="3"/>
      <c r="O14" s="4"/>
      <c r="P14" s="5"/>
      <c r="Q14" s="5"/>
      <c r="R14" s="5"/>
      <c r="S14" s="4"/>
      <c r="T14" s="3"/>
    </row>
    <row r="15" spans="1:20" ht="30">
      <c r="A15" s="2" t="s">
        <v>181</v>
      </c>
      <c r="B15" s="2" t="s">
        <v>196</v>
      </c>
      <c r="C15" s="9" t="s">
        <v>370</v>
      </c>
      <c r="D15" s="3" t="s">
        <v>371</v>
      </c>
      <c r="E15" s="2">
        <v>47600</v>
      </c>
      <c r="F15" s="4">
        <v>4.5565888173786297E-2</v>
      </c>
      <c r="G15" s="4">
        <v>9.9519130252979301E-3</v>
      </c>
      <c r="H15" s="4">
        <v>0.03</v>
      </c>
      <c r="I15" s="4"/>
      <c r="J15" s="4"/>
      <c r="K15" s="2" t="s">
        <v>398</v>
      </c>
      <c r="L15" s="3" t="s">
        <v>399</v>
      </c>
      <c r="M15" s="2" t="s">
        <v>401</v>
      </c>
      <c r="N15" s="3" t="s">
        <v>145</v>
      </c>
      <c r="O15" s="4">
        <v>0.03</v>
      </c>
      <c r="P15" s="5">
        <v>143490</v>
      </c>
      <c r="Q15" s="5">
        <v>191942.39999999999</v>
      </c>
      <c r="R15" s="5">
        <v>-48452.399999999987</v>
      </c>
      <c r="S15" s="4">
        <v>1.3376709178339949</v>
      </c>
      <c r="T15" s="3" t="s">
        <v>148</v>
      </c>
    </row>
    <row r="16" spans="1:20" ht="30">
      <c r="A16" s="2" t="s">
        <v>181</v>
      </c>
      <c r="B16" s="2" t="s">
        <v>196</v>
      </c>
      <c r="C16" s="9" t="s">
        <v>372</v>
      </c>
      <c r="D16" s="3" t="s">
        <v>373</v>
      </c>
      <c r="E16" s="2">
        <v>46838.400000000001</v>
      </c>
      <c r="F16" s="4">
        <v>4.483683396300573E-2</v>
      </c>
      <c r="G16" s="4">
        <v>9.7926824168931628E-3</v>
      </c>
      <c r="H16" s="4">
        <v>0.02</v>
      </c>
      <c r="I16" s="4"/>
      <c r="J16" s="4"/>
      <c r="K16" s="2" t="s">
        <v>398</v>
      </c>
      <c r="L16" s="3" t="s">
        <v>399</v>
      </c>
      <c r="M16" s="2" t="s">
        <v>401</v>
      </c>
      <c r="N16" s="3" t="s">
        <v>145</v>
      </c>
      <c r="O16" s="4">
        <v>0.03</v>
      </c>
      <c r="P16" s="5">
        <v>143490</v>
      </c>
      <c r="Q16" s="5">
        <v>191942.39999999999</v>
      </c>
      <c r="R16" s="5">
        <v>-48452.399999999987</v>
      </c>
      <c r="S16" s="4">
        <v>1.3376709178339949</v>
      </c>
      <c r="T16" s="3" t="s">
        <v>148</v>
      </c>
    </row>
    <row r="17" spans="1:20" ht="30">
      <c r="A17" s="2" t="s">
        <v>181</v>
      </c>
      <c r="B17" s="2" t="s">
        <v>190</v>
      </c>
      <c r="C17" s="9" t="s">
        <v>162</v>
      </c>
      <c r="D17" s="3" t="s">
        <v>161</v>
      </c>
      <c r="E17" s="2">
        <v>42370</v>
      </c>
      <c r="F17" s="4">
        <v>4.0559384074019447E-2</v>
      </c>
      <c r="G17" s="4">
        <v>8.8584570353334724E-3</v>
      </c>
      <c r="H17" s="4">
        <v>0.05</v>
      </c>
      <c r="I17" s="4"/>
      <c r="J17" s="4"/>
      <c r="K17" s="2" t="s">
        <v>398</v>
      </c>
      <c r="L17" s="3" t="s">
        <v>399</v>
      </c>
      <c r="M17" s="2" t="s">
        <v>400</v>
      </c>
      <c r="N17" s="3" t="s">
        <v>161</v>
      </c>
      <c r="O17" s="4">
        <v>0.05</v>
      </c>
      <c r="P17" s="5">
        <v>239150</v>
      </c>
      <c r="Q17" s="5">
        <v>42370</v>
      </c>
      <c r="R17" s="5">
        <v>196780</v>
      </c>
      <c r="S17" s="4">
        <v>0.17716914070666939</v>
      </c>
      <c r="T17" s="3" t="s">
        <v>126</v>
      </c>
    </row>
    <row r="18" spans="1:20" ht="30">
      <c r="A18" s="2" t="s">
        <v>181</v>
      </c>
      <c r="B18" s="2" t="s">
        <v>190</v>
      </c>
      <c r="C18" s="9" t="s">
        <v>167</v>
      </c>
      <c r="D18" s="3" t="s">
        <v>165</v>
      </c>
      <c r="E18" s="2">
        <v>38499</v>
      </c>
      <c r="F18" s="4">
        <v>3.6853805226945348E-2</v>
      </c>
      <c r="G18" s="4">
        <v>8.0491323437173329E-3</v>
      </c>
      <c r="H18" s="4">
        <v>0.04</v>
      </c>
      <c r="I18" s="4"/>
      <c r="J18" s="4"/>
      <c r="K18" s="2" t="s">
        <v>398</v>
      </c>
      <c r="L18" s="3" t="s">
        <v>399</v>
      </c>
      <c r="M18" s="2" t="s">
        <v>400</v>
      </c>
      <c r="N18" s="3" t="s">
        <v>165</v>
      </c>
      <c r="O18" s="4">
        <v>0.1</v>
      </c>
      <c r="P18" s="5">
        <v>478300</v>
      </c>
      <c r="Q18" s="5">
        <v>38499</v>
      </c>
      <c r="R18" s="5">
        <v>439801</v>
      </c>
      <c r="S18" s="4">
        <v>8.0491323437173329E-2</v>
      </c>
      <c r="T18" s="3" t="s">
        <v>126</v>
      </c>
    </row>
    <row r="19" spans="1:20" ht="30">
      <c r="A19" s="2" t="s">
        <v>181</v>
      </c>
      <c r="B19" s="2" t="s">
        <v>190</v>
      </c>
      <c r="C19" s="9" t="s">
        <v>402</v>
      </c>
      <c r="D19" s="3" t="s">
        <v>403</v>
      </c>
      <c r="E19" s="2">
        <v>35980</v>
      </c>
      <c r="F19" s="4">
        <v>3.444245076665612E-2</v>
      </c>
      <c r="G19" s="4">
        <v>7.5224754338281416E-3</v>
      </c>
      <c r="H19" s="4">
        <v>0.04</v>
      </c>
      <c r="I19" s="4"/>
      <c r="J19" s="4"/>
      <c r="K19" s="2" t="s">
        <v>398</v>
      </c>
      <c r="L19" s="3" t="s">
        <v>399</v>
      </c>
      <c r="M19" s="2" t="s">
        <v>400</v>
      </c>
      <c r="N19" s="3" t="s">
        <v>156</v>
      </c>
      <c r="O19" s="4">
        <v>0.08</v>
      </c>
      <c r="P19" s="5">
        <v>382640</v>
      </c>
      <c r="Q19" s="5">
        <v>109274.2</v>
      </c>
      <c r="R19" s="5">
        <v>273365.8</v>
      </c>
      <c r="S19" s="4">
        <v>0.28557965711896299</v>
      </c>
      <c r="T19" s="3" t="s">
        <v>126</v>
      </c>
    </row>
    <row r="20" spans="1:20" ht="30">
      <c r="A20" s="2" t="s">
        <v>181</v>
      </c>
      <c r="B20" s="2" t="s">
        <v>259</v>
      </c>
      <c r="C20" s="9" t="s">
        <v>137</v>
      </c>
      <c r="D20" s="3" t="s">
        <v>355</v>
      </c>
      <c r="E20" s="2">
        <v>21675</v>
      </c>
      <c r="F20" s="4">
        <v>2.0748752650563411E-2</v>
      </c>
      <c r="G20" s="4">
        <v>4.5316746811624514E-3</v>
      </c>
      <c r="H20" s="4">
        <v>0.02</v>
      </c>
      <c r="I20" s="4"/>
      <c r="J20" s="4"/>
      <c r="K20" s="2" t="s">
        <v>398</v>
      </c>
      <c r="L20" s="3" t="s">
        <v>399</v>
      </c>
      <c r="M20" s="2" t="s">
        <v>400</v>
      </c>
      <c r="N20" s="3" t="s">
        <v>136</v>
      </c>
      <c r="O20" s="4">
        <v>0.06</v>
      </c>
      <c r="P20" s="5">
        <v>286980</v>
      </c>
      <c r="Q20" s="5">
        <v>21675</v>
      </c>
      <c r="R20" s="5">
        <v>265305</v>
      </c>
      <c r="S20" s="4">
        <v>7.5527911352707505E-2</v>
      </c>
      <c r="T20" s="3" t="s">
        <v>126</v>
      </c>
    </row>
  </sheetData>
  <autoFilter ref="A1:T20" xr:uid="{00000000-0009-0000-0000-000009000000}"/>
  <phoneticPr fontId="3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2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2" customWidth="1"/>
    <col min="2" max="2" width="18" customWidth="1"/>
    <col min="3" max="3" width="14" customWidth="1"/>
    <col min="4" max="4" width="11" customWidth="1"/>
    <col min="5" max="8" width="10" customWidth="1"/>
    <col min="9" max="9" width="11" customWidth="1"/>
    <col min="10" max="11" width="15" customWidth="1"/>
    <col min="12" max="12" width="18" customWidth="1"/>
    <col min="13" max="16" width="14" customWidth="1"/>
    <col min="17" max="17" width="18" customWidth="1"/>
    <col min="18" max="20" width="14" customWidth="1"/>
    <col min="21" max="21" width="26" customWidth="1"/>
    <col min="22" max="26" width="14" customWidth="1"/>
    <col min="27" max="27" width="18" customWidth="1"/>
  </cols>
  <sheetData>
    <row r="1" spans="1:27" ht="30">
      <c r="A1" s="1" t="s">
        <v>279</v>
      </c>
      <c r="B1" s="1" t="s">
        <v>334</v>
      </c>
      <c r="C1" s="1" t="s">
        <v>404</v>
      </c>
      <c r="D1" s="1" t="s">
        <v>405</v>
      </c>
      <c r="E1" s="1" t="s">
        <v>406</v>
      </c>
      <c r="F1" s="1" t="s">
        <v>407</v>
      </c>
      <c r="G1" s="1" t="s">
        <v>408</v>
      </c>
      <c r="H1" s="1" t="s">
        <v>409</v>
      </c>
      <c r="I1" s="1" t="s">
        <v>410</v>
      </c>
      <c r="J1" s="1" t="s">
        <v>411</v>
      </c>
      <c r="K1" s="1" t="s">
        <v>412</v>
      </c>
      <c r="L1" s="1" t="s">
        <v>413</v>
      </c>
      <c r="M1" s="1" t="s">
        <v>414</v>
      </c>
      <c r="N1" s="1" t="s">
        <v>415</v>
      </c>
      <c r="O1" s="1" t="s">
        <v>416</v>
      </c>
      <c r="P1" s="1" t="s">
        <v>417</v>
      </c>
      <c r="Q1" s="1" t="s">
        <v>418</v>
      </c>
      <c r="R1" s="1" t="s">
        <v>419</v>
      </c>
      <c r="S1" s="1" t="s">
        <v>420</v>
      </c>
      <c r="T1" s="1" t="s">
        <v>421</v>
      </c>
      <c r="U1" s="1" t="s">
        <v>186</v>
      </c>
      <c r="V1" s="1" t="s">
        <v>187</v>
      </c>
      <c r="W1" s="1" t="s">
        <v>342</v>
      </c>
      <c r="X1" s="1" t="s">
        <v>343</v>
      </c>
      <c r="Y1" s="1" t="s">
        <v>111</v>
      </c>
      <c r="Z1" s="1" t="s">
        <v>112</v>
      </c>
      <c r="AA1" s="1" t="s">
        <v>344</v>
      </c>
    </row>
    <row r="2" spans="1:27" ht="15">
      <c r="A2" s="9" t="s">
        <v>287</v>
      </c>
      <c r="B2" s="3" t="s">
        <v>288</v>
      </c>
      <c r="C2" s="2" t="s">
        <v>422</v>
      </c>
      <c r="D2" s="13"/>
      <c r="E2" s="14"/>
      <c r="F2" s="13"/>
      <c r="G2" s="13"/>
      <c r="H2" s="13"/>
      <c r="I2" s="13"/>
      <c r="J2" s="15"/>
      <c r="K2" s="15"/>
      <c r="L2" s="3"/>
      <c r="M2" s="2" t="s">
        <v>423</v>
      </c>
      <c r="N2" s="2" t="s">
        <v>424</v>
      </c>
      <c r="O2" s="2" t="s">
        <v>425</v>
      </c>
      <c r="P2" s="2"/>
      <c r="Q2" s="3"/>
      <c r="R2" s="2"/>
      <c r="S2" s="2" t="s">
        <v>426</v>
      </c>
      <c r="T2" s="2" t="s">
        <v>427</v>
      </c>
      <c r="U2" s="3"/>
      <c r="V2" s="4"/>
      <c r="W2" s="5"/>
      <c r="X2" s="5"/>
      <c r="Y2" s="5"/>
      <c r="Z2" s="4"/>
      <c r="AA2" s="3"/>
    </row>
    <row r="3" spans="1:27" ht="15">
      <c r="A3" s="9" t="s">
        <v>291</v>
      </c>
      <c r="B3" s="3" t="s">
        <v>292</v>
      </c>
      <c r="C3" s="2" t="s">
        <v>422</v>
      </c>
      <c r="D3" s="13"/>
      <c r="E3" s="14"/>
      <c r="F3" s="13"/>
      <c r="G3" s="13"/>
      <c r="H3" s="13"/>
      <c r="I3" s="13"/>
      <c r="J3" s="15"/>
      <c r="K3" s="15"/>
      <c r="L3" s="3"/>
      <c r="M3" s="2" t="s">
        <v>423</v>
      </c>
      <c r="N3" s="2" t="s">
        <v>424</v>
      </c>
      <c r="O3" s="2" t="s">
        <v>425</v>
      </c>
      <c r="P3" s="2"/>
      <c r="Q3" s="3"/>
      <c r="R3" s="2"/>
      <c r="S3" s="2" t="s">
        <v>426</v>
      </c>
      <c r="T3" s="2" t="s">
        <v>427</v>
      </c>
      <c r="U3" s="3"/>
      <c r="V3" s="4"/>
      <c r="W3" s="5"/>
      <c r="X3" s="5"/>
      <c r="Y3" s="5"/>
      <c r="Z3" s="4"/>
      <c r="AA3" s="3"/>
    </row>
    <row r="4" spans="1:27" ht="15">
      <c r="A4" s="9" t="s">
        <v>293</v>
      </c>
      <c r="B4" s="3" t="s">
        <v>294</v>
      </c>
      <c r="C4" s="2" t="s">
        <v>422</v>
      </c>
      <c r="D4" s="13"/>
      <c r="E4" s="14"/>
      <c r="F4" s="13"/>
      <c r="G4" s="13"/>
      <c r="H4" s="13"/>
      <c r="I4" s="13"/>
      <c r="J4" s="15"/>
      <c r="K4" s="15"/>
      <c r="L4" s="3"/>
      <c r="M4" s="2" t="s">
        <v>423</v>
      </c>
      <c r="N4" s="2" t="s">
        <v>424</v>
      </c>
      <c r="O4" s="2" t="s">
        <v>425</v>
      </c>
      <c r="P4" s="2"/>
      <c r="Q4" s="3"/>
      <c r="R4" s="2"/>
      <c r="S4" s="2" t="s">
        <v>426</v>
      </c>
      <c r="T4" s="2" t="s">
        <v>427</v>
      </c>
      <c r="U4" s="3"/>
      <c r="V4" s="4"/>
      <c r="W4" s="5"/>
      <c r="X4" s="5"/>
      <c r="Y4" s="5"/>
      <c r="Z4" s="4"/>
      <c r="AA4" s="3"/>
    </row>
    <row r="5" spans="1:27" ht="15">
      <c r="A5" s="9" t="s">
        <v>296</v>
      </c>
      <c r="B5" s="3" t="s">
        <v>297</v>
      </c>
      <c r="C5" s="2" t="s">
        <v>422</v>
      </c>
      <c r="D5" s="13"/>
      <c r="E5" s="14"/>
      <c r="F5" s="13"/>
      <c r="G5" s="13"/>
      <c r="H5" s="13"/>
      <c r="I5" s="13"/>
      <c r="J5" s="15"/>
      <c r="K5" s="15"/>
      <c r="L5" s="3"/>
      <c r="M5" s="2" t="s">
        <v>423</v>
      </c>
      <c r="N5" s="2" t="s">
        <v>424</v>
      </c>
      <c r="O5" s="2" t="s">
        <v>425</v>
      </c>
      <c r="P5" s="2"/>
      <c r="Q5" s="3"/>
      <c r="R5" s="2"/>
      <c r="S5" s="2" t="s">
        <v>426</v>
      </c>
      <c r="T5" s="2" t="s">
        <v>428</v>
      </c>
      <c r="U5" s="3"/>
      <c r="V5" s="4"/>
      <c r="W5" s="5"/>
      <c r="X5" s="5"/>
      <c r="Y5" s="5"/>
      <c r="Z5" s="4"/>
      <c r="AA5" s="3"/>
    </row>
    <row r="6" spans="1:27" ht="15">
      <c r="A6" s="9" t="s">
        <v>298</v>
      </c>
      <c r="B6" s="3" t="s">
        <v>299</v>
      </c>
      <c r="C6" s="2" t="s">
        <v>422</v>
      </c>
      <c r="D6" s="13"/>
      <c r="E6" s="14"/>
      <c r="F6" s="13"/>
      <c r="G6" s="13"/>
      <c r="H6" s="13"/>
      <c r="I6" s="13"/>
      <c r="J6" s="15"/>
      <c r="K6" s="15"/>
      <c r="L6" s="3"/>
      <c r="M6" s="2" t="s">
        <v>423</v>
      </c>
      <c r="N6" s="2" t="s">
        <v>424</v>
      </c>
      <c r="O6" s="2" t="s">
        <v>425</v>
      </c>
      <c r="P6" s="2"/>
      <c r="Q6" s="3"/>
      <c r="R6" s="2"/>
      <c r="S6" s="2" t="s">
        <v>426</v>
      </c>
      <c r="T6" s="2" t="s">
        <v>428</v>
      </c>
      <c r="U6" s="3"/>
      <c r="V6" s="4"/>
      <c r="W6" s="5"/>
      <c r="X6" s="5"/>
      <c r="Y6" s="5"/>
      <c r="Z6" s="4"/>
      <c r="AA6" s="3"/>
    </row>
    <row r="7" spans="1:27" ht="15">
      <c r="A7" s="9" t="s">
        <v>124</v>
      </c>
      <c r="B7" s="3" t="s">
        <v>350</v>
      </c>
      <c r="C7" s="2" t="s">
        <v>429</v>
      </c>
      <c r="D7" s="13">
        <v>1.516</v>
      </c>
      <c r="E7" s="14"/>
      <c r="F7" s="13"/>
      <c r="G7" s="13"/>
      <c r="H7" s="13"/>
      <c r="I7" s="13"/>
      <c r="J7" s="15"/>
      <c r="K7" s="15"/>
      <c r="L7" s="3"/>
      <c r="M7" s="2" t="s">
        <v>423</v>
      </c>
      <c r="N7" s="2" t="s">
        <v>424</v>
      </c>
      <c r="O7" s="2" t="s">
        <v>430</v>
      </c>
      <c r="P7" s="2"/>
      <c r="Q7" s="3"/>
      <c r="R7" s="2"/>
      <c r="S7" s="2" t="s">
        <v>426</v>
      </c>
      <c r="T7" s="2" t="s">
        <v>431</v>
      </c>
      <c r="U7" s="3" t="s">
        <v>122</v>
      </c>
      <c r="V7" s="4">
        <v>0.08</v>
      </c>
      <c r="W7" s="5">
        <v>382640</v>
      </c>
      <c r="X7" s="5">
        <v>60640</v>
      </c>
      <c r="Y7" s="5">
        <v>322000</v>
      </c>
      <c r="Z7" s="4">
        <v>0.15847794271377799</v>
      </c>
      <c r="AA7" s="3" t="s">
        <v>126</v>
      </c>
    </row>
    <row r="8" spans="1:27" ht="15">
      <c r="A8" s="9" t="s">
        <v>133</v>
      </c>
      <c r="B8" s="3" t="s">
        <v>354</v>
      </c>
      <c r="C8" s="2" t="s">
        <v>429</v>
      </c>
      <c r="D8" s="13">
        <v>1.1679999999999999</v>
      </c>
      <c r="E8" s="14"/>
      <c r="F8" s="13"/>
      <c r="G8" s="13"/>
      <c r="H8" s="13"/>
      <c r="I8" s="13"/>
      <c r="J8" s="15"/>
      <c r="K8" s="15"/>
      <c r="L8" s="3"/>
      <c r="M8" s="2" t="s">
        <v>423</v>
      </c>
      <c r="N8" s="2" t="s">
        <v>424</v>
      </c>
      <c r="O8" s="2" t="s">
        <v>430</v>
      </c>
      <c r="P8" s="2"/>
      <c r="Q8" s="3"/>
      <c r="R8" s="2"/>
      <c r="S8" s="2" t="s">
        <v>426</v>
      </c>
      <c r="T8" s="2" t="s">
        <v>432</v>
      </c>
      <c r="U8" s="3" t="s">
        <v>131</v>
      </c>
      <c r="V8" s="4">
        <v>0.08</v>
      </c>
      <c r="W8" s="5">
        <v>382640</v>
      </c>
      <c r="X8" s="5">
        <v>139459.20000000001</v>
      </c>
      <c r="Y8" s="5">
        <v>243180.79999999999</v>
      </c>
      <c r="Z8" s="4">
        <v>0.36446581643320097</v>
      </c>
      <c r="AA8" s="3" t="s">
        <v>126</v>
      </c>
    </row>
    <row r="9" spans="1:27" ht="15">
      <c r="A9" s="9" t="s">
        <v>137</v>
      </c>
      <c r="B9" s="3" t="s">
        <v>355</v>
      </c>
      <c r="C9" s="2" t="s">
        <v>422</v>
      </c>
      <c r="D9" s="13">
        <v>1.4450000000000001</v>
      </c>
      <c r="E9" s="14"/>
      <c r="F9" s="13"/>
      <c r="G9" s="13"/>
      <c r="H9" s="13"/>
      <c r="I9" s="13"/>
      <c r="J9" s="15"/>
      <c r="K9" s="15"/>
      <c r="L9" s="3"/>
      <c r="M9" s="2" t="s">
        <v>423</v>
      </c>
      <c r="N9" s="2" t="s">
        <v>424</v>
      </c>
      <c r="O9" s="2" t="s">
        <v>425</v>
      </c>
      <c r="P9" s="2"/>
      <c r="Q9" s="3"/>
      <c r="R9" s="2"/>
      <c r="S9" s="2" t="s">
        <v>426</v>
      </c>
      <c r="T9" s="2" t="s">
        <v>433</v>
      </c>
      <c r="U9" s="3" t="s">
        <v>136</v>
      </c>
      <c r="V9" s="4">
        <v>0.06</v>
      </c>
      <c r="W9" s="5">
        <v>286980</v>
      </c>
      <c r="X9" s="5">
        <v>21675</v>
      </c>
      <c r="Y9" s="5">
        <v>265305</v>
      </c>
      <c r="Z9" s="4">
        <v>7.5527911352707505E-2</v>
      </c>
      <c r="AA9" s="3" t="s">
        <v>126</v>
      </c>
    </row>
    <row r="10" spans="1:27" ht="15">
      <c r="A10" s="9" t="s">
        <v>357</v>
      </c>
      <c r="B10" s="3" t="s">
        <v>358</v>
      </c>
      <c r="C10" s="2" t="s">
        <v>422</v>
      </c>
      <c r="D10" s="13"/>
      <c r="E10" s="14"/>
      <c r="F10" s="13"/>
      <c r="G10" s="13"/>
      <c r="H10" s="13"/>
      <c r="I10" s="13"/>
      <c r="J10" s="15"/>
      <c r="K10" s="15"/>
      <c r="L10" s="3"/>
      <c r="M10" s="2" t="s">
        <v>423</v>
      </c>
      <c r="N10" s="2" t="s">
        <v>424</v>
      </c>
      <c r="O10" s="2" t="s">
        <v>425</v>
      </c>
      <c r="P10" s="2"/>
      <c r="Q10" s="3"/>
      <c r="R10" s="2"/>
      <c r="S10" s="2" t="s">
        <v>426</v>
      </c>
      <c r="T10" s="2" t="s">
        <v>434</v>
      </c>
      <c r="U10" s="3"/>
      <c r="V10" s="4"/>
      <c r="W10" s="5"/>
      <c r="X10" s="5"/>
      <c r="Y10" s="5"/>
      <c r="Z10" s="4"/>
      <c r="AA10" s="3"/>
    </row>
    <row r="11" spans="1:27" ht="15">
      <c r="A11" s="9" t="s">
        <v>153</v>
      </c>
      <c r="B11" s="3" t="s">
        <v>151</v>
      </c>
      <c r="C11" s="2" t="s">
        <v>171</v>
      </c>
      <c r="D11" s="13">
        <v>1.712</v>
      </c>
      <c r="E11" s="14"/>
      <c r="F11" s="13"/>
      <c r="G11" s="13"/>
      <c r="H11" s="13"/>
      <c r="I11" s="13"/>
      <c r="J11" s="15"/>
      <c r="K11" s="15"/>
      <c r="L11" s="3"/>
      <c r="M11" s="2" t="s">
        <v>423</v>
      </c>
      <c r="N11" s="2" t="s">
        <v>424</v>
      </c>
      <c r="O11" s="2" t="s">
        <v>435</v>
      </c>
      <c r="P11" s="2"/>
      <c r="Q11" s="3"/>
      <c r="R11" s="2"/>
      <c r="S11" s="2" t="s">
        <v>426</v>
      </c>
      <c r="T11" s="2" t="s">
        <v>436</v>
      </c>
      <c r="U11" s="3" t="s">
        <v>151</v>
      </c>
      <c r="V11" s="4">
        <v>0.03</v>
      </c>
      <c r="W11" s="5">
        <v>143490</v>
      </c>
      <c r="X11" s="5">
        <v>63344</v>
      </c>
      <c r="Y11" s="5">
        <v>80146</v>
      </c>
      <c r="Z11" s="4">
        <v>0.44145236601853788</v>
      </c>
      <c r="AA11" s="3" t="s">
        <v>126</v>
      </c>
    </row>
    <row r="12" spans="1:27" ht="15">
      <c r="A12" s="9" t="s">
        <v>141</v>
      </c>
      <c r="B12" s="3" t="s">
        <v>360</v>
      </c>
      <c r="C12" s="2" t="s">
        <v>422</v>
      </c>
      <c r="D12" s="13"/>
      <c r="E12" s="14"/>
      <c r="F12" s="13"/>
      <c r="G12" s="13"/>
      <c r="H12" s="13"/>
      <c r="I12" s="13"/>
      <c r="J12" s="15"/>
      <c r="K12" s="15"/>
      <c r="L12" s="3"/>
      <c r="M12" s="2" t="s">
        <v>423</v>
      </c>
      <c r="N12" s="2" t="s">
        <v>424</v>
      </c>
      <c r="O12" s="2" t="s">
        <v>425</v>
      </c>
      <c r="P12" s="2"/>
      <c r="Q12" s="3"/>
      <c r="R12" s="2"/>
      <c r="S12" s="2" t="s">
        <v>426</v>
      </c>
      <c r="T12" s="2" t="s">
        <v>437</v>
      </c>
      <c r="U12" s="3" t="s">
        <v>139</v>
      </c>
      <c r="V12" s="4">
        <v>0.02</v>
      </c>
      <c r="W12" s="5">
        <v>95660</v>
      </c>
      <c r="X12" s="5">
        <v>0</v>
      </c>
      <c r="Y12" s="5">
        <v>95660</v>
      </c>
      <c r="Z12" s="4">
        <v>0</v>
      </c>
      <c r="AA12" s="3" t="s">
        <v>126</v>
      </c>
    </row>
    <row r="13" spans="1:27" ht="15">
      <c r="A13" s="9" t="s">
        <v>361</v>
      </c>
      <c r="B13" s="3" t="s">
        <v>156</v>
      </c>
      <c r="C13" s="2" t="s">
        <v>438</v>
      </c>
      <c r="D13" s="13">
        <v>1.323</v>
      </c>
      <c r="E13" s="14"/>
      <c r="F13" s="13"/>
      <c r="G13" s="13"/>
      <c r="H13" s="13"/>
      <c r="I13" s="13"/>
      <c r="J13" s="15"/>
      <c r="K13" s="15"/>
      <c r="L13" s="3"/>
      <c r="M13" s="2" t="s">
        <v>423</v>
      </c>
      <c r="N13" s="2" t="s">
        <v>424</v>
      </c>
      <c r="O13" s="2" t="s">
        <v>439</v>
      </c>
      <c r="P13" s="2"/>
      <c r="Q13" s="3"/>
      <c r="R13" s="2"/>
      <c r="S13" s="2" t="s">
        <v>426</v>
      </c>
      <c r="T13" s="2" t="s">
        <v>440</v>
      </c>
      <c r="U13" s="3" t="s">
        <v>156</v>
      </c>
      <c r="V13" s="4">
        <v>0.08</v>
      </c>
      <c r="W13" s="5">
        <v>382640</v>
      </c>
      <c r="X13" s="5">
        <v>109274.2</v>
      </c>
      <c r="Y13" s="5">
        <v>273365.8</v>
      </c>
      <c r="Z13" s="4">
        <v>0.28557965711896299</v>
      </c>
      <c r="AA13" s="3" t="s">
        <v>126</v>
      </c>
    </row>
    <row r="14" spans="1:27" ht="15">
      <c r="A14" s="9" t="s">
        <v>162</v>
      </c>
      <c r="B14" s="3" t="s">
        <v>161</v>
      </c>
      <c r="C14" s="2" t="s">
        <v>438</v>
      </c>
      <c r="D14" s="13">
        <v>1.115</v>
      </c>
      <c r="E14" s="14"/>
      <c r="F14" s="13"/>
      <c r="G14" s="13"/>
      <c r="H14" s="13"/>
      <c r="I14" s="13"/>
      <c r="J14" s="15"/>
      <c r="K14" s="15"/>
      <c r="L14" s="3"/>
      <c r="M14" s="2" t="s">
        <v>423</v>
      </c>
      <c r="N14" s="2" t="s">
        <v>424</v>
      </c>
      <c r="O14" s="2" t="s">
        <v>441</v>
      </c>
      <c r="P14" s="2"/>
      <c r="Q14" s="3"/>
      <c r="R14" s="2"/>
      <c r="S14" s="2" t="s">
        <v>426</v>
      </c>
      <c r="T14" s="2" t="s">
        <v>440</v>
      </c>
      <c r="U14" s="3" t="s">
        <v>161</v>
      </c>
      <c r="V14" s="4">
        <v>0.05</v>
      </c>
      <c r="W14" s="5">
        <v>239150</v>
      </c>
      <c r="X14" s="5">
        <v>42370</v>
      </c>
      <c r="Y14" s="5">
        <v>196780</v>
      </c>
      <c r="Z14" s="4">
        <v>0.17716914070666939</v>
      </c>
      <c r="AA14" s="3" t="s">
        <v>126</v>
      </c>
    </row>
    <row r="15" spans="1:27" ht="15">
      <c r="A15" s="9" t="s">
        <v>167</v>
      </c>
      <c r="B15" s="3" t="s">
        <v>165</v>
      </c>
      <c r="C15" s="2" t="s">
        <v>442</v>
      </c>
      <c r="D15" s="13">
        <v>12.833</v>
      </c>
      <c r="E15" s="14"/>
      <c r="F15" s="13"/>
      <c r="G15" s="13"/>
      <c r="H15" s="13"/>
      <c r="I15" s="13"/>
      <c r="J15" s="15"/>
      <c r="K15" s="15"/>
      <c r="L15" s="3"/>
      <c r="M15" s="2" t="s">
        <v>423</v>
      </c>
      <c r="N15" s="2" t="s">
        <v>424</v>
      </c>
      <c r="O15" s="2" t="s">
        <v>443</v>
      </c>
      <c r="P15" s="2"/>
      <c r="Q15" s="3"/>
      <c r="R15" s="2"/>
      <c r="S15" s="2" t="s">
        <v>426</v>
      </c>
      <c r="T15" s="2" t="s">
        <v>444</v>
      </c>
      <c r="U15" s="3" t="s">
        <v>165</v>
      </c>
      <c r="V15" s="4">
        <v>0.1</v>
      </c>
      <c r="W15" s="5">
        <v>478300</v>
      </c>
      <c r="X15" s="5">
        <v>38499</v>
      </c>
      <c r="Y15" s="5">
        <v>439801</v>
      </c>
      <c r="Z15" s="4">
        <v>8.0491323437173329E-2</v>
      </c>
      <c r="AA15" s="3" t="s">
        <v>126</v>
      </c>
    </row>
    <row r="16" spans="1:27" ht="15">
      <c r="A16" s="9" t="s">
        <v>362</v>
      </c>
      <c r="B16" s="3" t="s">
        <v>363</v>
      </c>
      <c r="C16" s="2" t="s">
        <v>445</v>
      </c>
      <c r="D16" s="13">
        <v>141.38800000000001</v>
      </c>
      <c r="E16" s="14"/>
      <c r="F16" s="13"/>
      <c r="G16" s="13"/>
      <c r="H16" s="13"/>
      <c r="I16" s="13"/>
      <c r="J16" s="15"/>
      <c r="K16" s="15"/>
      <c r="L16" s="3"/>
      <c r="M16" s="2" t="s">
        <v>423</v>
      </c>
      <c r="N16" s="2" t="s">
        <v>424</v>
      </c>
      <c r="O16" s="2" t="s">
        <v>446</v>
      </c>
      <c r="P16" s="2"/>
      <c r="Q16" s="3"/>
      <c r="R16" s="2"/>
      <c r="S16" s="2" t="s">
        <v>426</v>
      </c>
      <c r="T16" s="2" t="s">
        <v>447</v>
      </c>
      <c r="U16" s="3"/>
      <c r="V16" s="4"/>
      <c r="W16" s="5"/>
      <c r="X16" s="5"/>
      <c r="Y16" s="5"/>
      <c r="Z16" s="4"/>
      <c r="AA16" s="3"/>
    </row>
    <row r="17" spans="1:27" ht="15">
      <c r="A17" s="9" t="s">
        <v>364</v>
      </c>
      <c r="B17" s="3" t="s">
        <v>365</v>
      </c>
      <c r="C17" s="2" t="s">
        <v>448</v>
      </c>
      <c r="D17" s="13">
        <v>88.64</v>
      </c>
      <c r="E17" s="14"/>
      <c r="F17" s="13"/>
      <c r="G17" s="13"/>
      <c r="H17" s="13"/>
      <c r="I17" s="13"/>
      <c r="J17" s="15"/>
      <c r="K17" s="15"/>
      <c r="L17" s="3"/>
      <c r="M17" s="2" t="s">
        <v>423</v>
      </c>
      <c r="N17" s="2" t="s">
        <v>424</v>
      </c>
      <c r="O17" s="2" t="s">
        <v>449</v>
      </c>
      <c r="P17" s="2"/>
      <c r="Q17" s="3"/>
      <c r="R17" s="2"/>
      <c r="S17" s="2" t="s">
        <v>426</v>
      </c>
      <c r="T17" s="2" t="s">
        <v>450</v>
      </c>
      <c r="U17" s="3" t="s">
        <v>145</v>
      </c>
      <c r="V17" s="4">
        <v>0.03</v>
      </c>
      <c r="W17" s="5">
        <v>143490</v>
      </c>
      <c r="X17" s="5">
        <v>191942.39999999999</v>
      </c>
      <c r="Y17" s="5">
        <v>-48452.399999999987</v>
      </c>
      <c r="Z17" s="4">
        <v>1.3376709178339949</v>
      </c>
      <c r="AA17" s="3" t="s">
        <v>148</v>
      </c>
    </row>
    <row r="18" spans="1:27" ht="15">
      <c r="A18" s="9" t="s">
        <v>368</v>
      </c>
      <c r="B18" s="3" t="s">
        <v>369</v>
      </c>
      <c r="C18" s="2" t="s">
        <v>448</v>
      </c>
      <c r="D18" s="13">
        <v>65.260000000000005</v>
      </c>
      <c r="E18" s="14"/>
      <c r="F18" s="13"/>
      <c r="G18" s="13"/>
      <c r="H18" s="13"/>
      <c r="I18" s="13"/>
      <c r="J18" s="15"/>
      <c r="K18" s="15"/>
      <c r="L18" s="3"/>
      <c r="M18" s="2" t="s">
        <v>423</v>
      </c>
      <c r="N18" s="2" t="s">
        <v>424</v>
      </c>
      <c r="O18" s="2" t="s">
        <v>449</v>
      </c>
      <c r="P18" s="2"/>
      <c r="Q18" s="3"/>
      <c r="R18" s="2"/>
      <c r="S18" s="2" t="s">
        <v>426</v>
      </c>
      <c r="T18" s="2" t="s">
        <v>451</v>
      </c>
      <c r="U18" s="3"/>
      <c r="V18" s="4"/>
      <c r="W18" s="5"/>
      <c r="X18" s="5"/>
      <c r="Y18" s="5"/>
      <c r="Z18" s="4"/>
      <c r="AA18" s="3"/>
    </row>
    <row r="19" spans="1:27" ht="15">
      <c r="A19" s="9" t="s">
        <v>370</v>
      </c>
      <c r="B19" s="3" t="s">
        <v>371</v>
      </c>
      <c r="C19" s="2" t="s">
        <v>448</v>
      </c>
      <c r="D19" s="13">
        <v>1.19</v>
      </c>
      <c r="E19" s="14"/>
      <c r="F19" s="13"/>
      <c r="G19" s="13"/>
      <c r="H19" s="13"/>
      <c r="I19" s="13"/>
      <c r="J19" s="15"/>
      <c r="K19" s="15"/>
      <c r="L19" s="3"/>
      <c r="M19" s="2" t="s">
        <v>423</v>
      </c>
      <c r="N19" s="2" t="s">
        <v>424</v>
      </c>
      <c r="O19" s="2" t="s">
        <v>449</v>
      </c>
      <c r="P19" s="2"/>
      <c r="Q19" s="3"/>
      <c r="R19" s="2"/>
      <c r="S19" s="2" t="s">
        <v>426</v>
      </c>
      <c r="T19" s="2" t="s">
        <v>452</v>
      </c>
      <c r="U19" s="3" t="s">
        <v>145</v>
      </c>
      <c r="V19" s="4">
        <v>0.03</v>
      </c>
      <c r="W19" s="5">
        <v>143490</v>
      </c>
      <c r="X19" s="5">
        <v>191942.39999999999</v>
      </c>
      <c r="Y19" s="5">
        <v>-48452.399999999987</v>
      </c>
      <c r="Z19" s="4">
        <v>1.3376709178339949</v>
      </c>
      <c r="AA19" s="3" t="s">
        <v>148</v>
      </c>
    </row>
    <row r="20" spans="1:27" ht="15">
      <c r="A20" s="9" t="s">
        <v>372</v>
      </c>
      <c r="B20" s="3" t="s">
        <v>373</v>
      </c>
      <c r="C20" s="2" t="s">
        <v>448</v>
      </c>
      <c r="D20" s="13">
        <v>2.2959999999999998</v>
      </c>
      <c r="E20" s="14"/>
      <c r="F20" s="13"/>
      <c r="G20" s="13"/>
      <c r="H20" s="13"/>
      <c r="I20" s="13"/>
      <c r="J20" s="15"/>
      <c r="K20" s="15"/>
      <c r="L20" s="3"/>
      <c r="M20" s="2" t="s">
        <v>423</v>
      </c>
      <c r="N20" s="2" t="s">
        <v>424</v>
      </c>
      <c r="O20" s="2" t="s">
        <v>449</v>
      </c>
      <c r="P20" s="2"/>
      <c r="Q20" s="3"/>
      <c r="R20" s="2"/>
      <c r="S20" s="2" t="s">
        <v>426</v>
      </c>
      <c r="T20" s="2" t="s">
        <v>452</v>
      </c>
      <c r="U20" s="3" t="s">
        <v>145</v>
      </c>
      <c r="V20" s="4">
        <v>0.03</v>
      </c>
      <c r="W20" s="5">
        <v>143490</v>
      </c>
      <c r="X20" s="5">
        <v>191942.39999999999</v>
      </c>
      <c r="Y20" s="5">
        <v>-48452.399999999987</v>
      </c>
      <c r="Z20" s="4">
        <v>1.3376709178339949</v>
      </c>
      <c r="AA20" s="3" t="s">
        <v>148</v>
      </c>
    </row>
    <row r="21" spans="1:27" ht="15">
      <c r="A21" s="9" t="s">
        <v>402</v>
      </c>
      <c r="B21" s="3" t="s">
        <v>403</v>
      </c>
      <c r="C21" s="2" t="s">
        <v>448</v>
      </c>
      <c r="D21" s="13">
        <v>1.028</v>
      </c>
      <c r="E21" s="14"/>
      <c r="F21" s="13"/>
      <c r="G21" s="13"/>
      <c r="H21" s="13"/>
      <c r="I21" s="13"/>
      <c r="J21" s="15"/>
      <c r="K21" s="15"/>
      <c r="L21" s="3"/>
      <c r="M21" s="2" t="s">
        <v>423</v>
      </c>
      <c r="N21" s="2" t="s">
        <v>424</v>
      </c>
      <c r="O21" s="2" t="s">
        <v>449</v>
      </c>
      <c r="P21" s="2"/>
      <c r="Q21" s="3"/>
      <c r="R21" s="2"/>
      <c r="S21" s="2" t="s">
        <v>426</v>
      </c>
      <c r="T21" s="2" t="s">
        <v>453</v>
      </c>
      <c r="U21" s="3" t="s">
        <v>156</v>
      </c>
      <c r="V21" s="4">
        <v>0.08</v>
      </c>
      <c r="W21" s="5">
        <v>382640</v>
      </c>
      <c r="X21" s="5">
        <v>109274.2</v>
      </c>
      <c r="Y21" s="5">
        <v>273365.8</v>
      </c>
      <c r="Z21" s="4">
        <v>0.28557965711896299</v>
      </c>
      <c r="AA21" s="3" t="s">
        <v>126</v>
      </c>
    </row>
  </sheetData>
  <autoFilter ref="A1:AA21" xr:uid="{00000000-0009-0000-0000-00000A000000}"/>
  <phoneticPr fontId="3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J2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2" width="12" customWidth="1"/>
    <col min="3" max="3" width="18" customWidth="1"/>
    <col min="4" max="4" width="14" customWidth="1"/>
    <col min="5" max="5" width="11" customWidth="1"/>
    <col min="6" max="6" width="22" customWidth="1"/>
    <col min="7" max="7" width="11" customWidth="1"/>
    <col min="8" max="11" width="12" customWidth="1"/>
    <col min="12" max="12" width="22" customWidth="1"/>
    <col min="13" max="13" width="11" customWidth="1"/>
    <col min="14" max="14" width="10" customWidth="1"/>
    <col min="15" max="15" width="13" customWidth="1"/>
    <col min="16" max="16" width="11" customWidth="1"/>
    <col min="17" max="17" width="16" customWidth="1"/>
    <col min="18" max="18" width="18" customWidth="1"/>
    <col min="19" max="19" width="16" customWidth="1"/>
    <col min="20" max="20" width="14" customWidth="1"/>
    <col min="21" max="21" width="16" customWidth="1"/>
    <col min="22" max="22" width="18" customWidth="1"/>
    <col min="23" max="23" width="9" customWidth="1"/>
    <col min="24" max="26" width="36" customWidth="1"/>
    <col min="27" max="27" width="11" customWidth="1"/>
    <col min="28" max="28" width="34" customWidth="1"/>
    <col min="29" max="29" width="44" customWidth="1"/>
    <col min="30" max="30" width="26" customWidth="1"/>
    <col min="31" max="35" width="14" customWidth="1"/>
    <col min="36" max="36" width="18" customWidth="1"/>
  </cols>
  <sheetData>
    <row r="1" spans="1:36" ht="30">
      <c r="A1" s="1" t="s">
        <v>454</v>
      </c>
      <c r="B1" s="1" t="s">
        <v>279</v>
      </c>
      <c r="C1" s="1" t="s">
        <v>334</v>
      </c>
      <c r="D1" s="1" t="s">
        <v>404</v>
      </c>
      <c r="E1" s="1" t="s">
        <v>455</v>
      </c>
      <c r="F1" s="1" t="s">
        <v>340</v>
      </c>
      <c r="G1" s="1" t="s">
        <v>53</v>
      </c>
      <c r="H1" s="1" t="s">
        <v>456</v>
      </c>
      <c r="I1" s="1" t="s">
        <v>457</v>
      </c>
      <c r="J1" s="1" t="s">
        <v>379</v>
      </c>
      <c r="K1" s="1" t="s">
        <v>458</v>
      </c>
      <c r="L1" s="1" t="s">
        <v>459</v>
      </c>
      <c r="M1" s="1" t="s">
        <v>405</v>
      </c>
      <c r="N1" s="1" t="s">
        <v>406</v>
      </c>
      <c r="O1" s="1" t="s">
        <v>460</v>
      </c>
      <c r="P1" s="1" t="s">
        <v>461</v>
      </c>
      <c r="Q1" s="1" t="s">
        <v>462</v>
      </c>
      <c r="R1" s="1" t="s">
        <v>463</v>
      </c>
      <c r="S1" s="1" t="s">
        <v>464</v>
      </c>
      <c r="T1" s="1" t="s">
        <v>465</v>
      </c>
      <c r="U1" s="1" t="s">
        <v>466</v>
      </c>
      <c r="V1" s="1" t="s">
        <v>467</v>
      </c>
      <c r="W1" s="1" t="s">
        <v>468</v>
      </c>
      <c r="X1" s="1" t="s">
        <v>469</v>
      </c>
      <c r="Y1" s="1" t="s">
        <v>470</v>
      </c>
      <c r="Z1" s="1" t="s">
        <v>471</v>
      </c>
      <c r="AA1" s="1" t="s">
        <v>472</v>
      </c>
      <c r="AB1" s="1" t="s">
        <v>473</v>
      </c>
      <c r="AC1" s="1" t="s">
        <v>474</v>
      </c>
      <c r="AD1" s="1" t="s">
        <v>186</v>
      </c>
      <c r="AE1" s="1" t="s">
        <v>187</v>
      </c>
      <c r="AF1" s="1" t="s">
        <v>342</v>
      </c>
      <c r="AG1" s="1" t="s">
        <v>343</v>
      </c>
      <c r="AH1" s="1" t="s">
        <v>111</v>
      </c>
      <c r="AI1" s="1" t="s">
        <v>112</v>
      </c>
      <c r="AJ1" s="1" t="s">
        <v>344</v>
      </c>
    </row>
    <row r="2" spans="1:36" ht="38" customHeight="1">
      <c r="A2" s="16" t="s">
        <v>475</v>
      </c>
      <c r="B2" s="17" t="s">
        <v>287</v>
      </c>
      <c r="C2" s="18" t="s">
        <v>288</v>
      </c>
      <c r="D2" s="19" t="s">
        <v>422</v>
      </c>
      <c r="E2" s="20"/>
      <c r="F2" s="18" t="s">
        <v>346</v>
      </c>
      <c r="G2" s="19">
        <v>1</v>
      </c>
      <c r="H2" s="19" t="s">
        <v>289</v>
      </c>
      <c r="I2" s="21"/>
      <c r="J2" s="21"/>
      <c r="K2" s="21"/>
      <c r="L2" s="18" t="s">
        <v>476</v>
      </c>
      <c r="M2" s="22"/>
      <c r="N2" s="23"/>
      <c r="O2" s="19"/>
      <c r="P2" s="23"/>
      <c r="Q2" s="19" t="s">
        <v>477</v>
      </c>
      <c r="R2" s="18" t="s">
        <v>478</v>
      </c>
      <c r="S2" s="19" t="s">
        <v>423</v>
      </c>
      <c r="T2" s="19" t="s">
        <v>424</v>
      </c>
      <c r="U2" s="19" t="s">
        <v>479</v>
      </c>
      <c r="V2" s="18" t="s">
        <v>480</v>
      </c>
      <c r="W2" s="19">
        <v>0</v>
      </c>
      <c r="X2" s="18" t="s">
        <v>481</v>
      </c>
      <c r="Y2" s="18" t="s">
        <v>481</v>
      </c>
      <c r="Z2" s="18" t="s">
        <v>482</v>
      </c>
      <c r="AA2" s="7" t="s">
        <v>191</v>
      </c>
      <c r="AB2" s="18" t="s">
        <v>483</v>
      </c>
      <c r="AC2" s="18" t="s">
        <v>484</v>
      </c>
      <c r="AD2" s="18"/>
      <c r="AE2" s="21"/>
      <c r="AF2" s="24"/>
      <c r="AG2" s="24"/>
      <c r="AH2" s="24"/>
      <c r="AI2" s="21"/>
      <c r="AJ2" s="18"/>
    </row>
    <row r="3" spans="1:36" ht="38" customHeight="1">
      <c r="A3" s="16" t="s">
        <v>475</v>
      </c>
      <c r="B3" s="9" t="s">
        <v>291</v>
      </c>
      <c r="C3" s="3" t="s">
        <v>292</v>
      </c>
      <c r="D3" s="2" t="s">
        <v>422</v>
      </c>
      <c r="E3" s="10"/>
      <c r="F3" s="3" t="s">
        <v>346</v>
      </c>
      <c r="G3" s="2">
        <v>1</v>
      </c>
      <c r="H3" s="2" t="s">
        <v>289</v>
      </c>
      <c r="I3" s="4"/>
      <c r="J3" s="4"/>
      <c r="K3" s="4"/>
      <c r="L3" s="3" t="s">
        <v>476</v>
      </c>
      <c r="M3" s="13"/>
      <c r="N3" s="14"/>
      <c r="O3" s="2"/>
      <c r="P3" s="14"/>
      <c r="Q3" s="2" t="s">
        <v>477</v>
      </c>
      <c r="R3" s="3" t="s">
        <v>478</v>
      </c>
      <c r="S3" s="2" t="s">
        <v>423</v>
      </c>
      <c r="T3" s="2" t="s">
        <v>424</v>
      </c>
      <c r="U3" s="2" t="s">
        <v>479</v>
      </c>
      <c r="V3" s="3" t="s">
        <v>480</v>
      </c>
      <c r="W3" s="2">
        <v>0</v>
      </c>
      <c r="X3" s="3" t="s">
        <v>481</v>
      </c>
      <c r="Y3" s="3" t="s">
        <v>481</v>
      </c>
      <c r="Z3" s="3" t="s">
        <v>482</v>
      </c>
      <c r="AA3" s="7" t="s">
        <v>191</v>
      </c>
      <c r="AB3" s="3" t="s">
        <v>483</v>
      </c>
      <c r="AC3" s="3" t="s">
        <v>484</v>
      </c>
      <c r="AD3" s="3"/>
      <c r="AE3" s="4"/>
      <c r="AF3" s="5"/>
      <c r="AG3" s="5"/>
      <c r="AH3" s="5"/>
      <c r="AI3" s="4"/>
      <c r="AJ3" s="3"/>
    </row>
    <row r="4" spans="1:36" ht="38" customHeight="1">
      <c r="A4" s="16" t="s">
        <v>475</v>
      </c>
      <c r="B4" s="17" t="s">
        <v>293</v>
      </c>
      <c r="C4" s="18" t="s">
        <v>294</v>
      </c>
      <c r="D4" s="19" t="s">
        <v>422</v>
      </c>
      <c r="E4" s="20"/>
      <c r="F4" s="18" t="s">
        <v>346</v>
      </c>
      <c r="G4" s="19">
        <v>1</v>
      </c>
      <c r="H4" s="19" t="s">
        <v>289</v>
      </c>
      <c r="I4" s="21"/>
      <c r="J4" s="21"/>
      <c r="K4" s="21"/>
      <c r="L4" s="18" t="s">
        <v>476</v>
      </c>
      <c r="M4" s="22"/>
      <c r="N4" s="23"/>
      <c r="O4" s="19"/>
      <c r="P4" s="23"/>
      <c r="Q4" s="19" t="s">
        <v>477</v>
      </c>
      <c r="R4" s="18" t="s">
        <v>478</v>
      </c>
      <c r="S4" s="19" t="s">
        <v>423</v>
      </c>
      <c r="T4" s="19" t="s">
        <v>424</v>
      </c>
      <c r="U4" s="19" t="s">
        <v>479</v>
      </c>
      <c r="V4" s="18" t="s">
        <v>480</v>
      </c>
      <c r="W4" s="19">
        <v>0</v>
      </c>
      <c r="X4" s="18" t="s">
        <v>481</v>
      </c>
      <c r="Y4" s="18" t="s">
        <v>481</v>
      </c>
      <c r="Z4" s="18" t="s">
        <v>482</v>
      </c>
      <c r="AA4" s="7" t="s">
        <v>191</v>
      </c>
      <c r="AB4" s="18" t="s">
        <v>483</v>
      </c>
      <c r="AC4" s="18" t="s">
        <v>484</v>
      </c>
      <c r="AD4" s="18"/>
      <c r="AE4" s="21"/>
      <c r="AF4" s="24"/>
      <c r="AG4" s="24"/>
      <c r="AH4" s="24"/>
      <c r="AI4" s="21"/>
      <c r="AJ4" s="18"/>
    </row>
    <row r="5" spans="1:36" ht="38" customHeight="1">
      <c r="A5" s="16" t="s">
        <v>475</v>
      </c>
      <c r="B5" s="9" t="s">
        <v>296</v>
      </c>
      <c r="C5" s="3" t="s">
        <v>297</v>
      </c>
      <c r="D5" s="2" t="s">
        <v>422</v>
      </c>
      <c r="E5" s="10"/>
      <c r="F5" s="3" t="s">
        <v>346</v>
      </c>
      <c r="G5" s="2">
        <v>1</v>
      </c>
      <c r="H5" s="2" t="s">
        <v>289</v>
      </c>
      <c r="I5" s="4"/>
      <c r="J5" s="4"/>
      <c r="K5" s="4"/>
      <c r="L5" s="3" t="s">
        <v>476</v>
      </c>
      <c r="M5" s="13"/>
      <c r="N5" s="14"/>
      <c r="O5" s="2"/>
      <c r="P5" s="14"/>
      <c r="Q5" s="2" t="s">
        <v>477</v>
      </c>
      <c r="R5" s="3" t="s">
        <v>478</v>
      </c>
      <c r="S5" s="2" t="s">
        <v>423</v>
      </c>
      <c r="T5" s="2" t="s">
        <v>424</v>
      </c>
      <c r="U5" s="2" t="s">
        <v>479</v>
      </c>
      <c r="V5" s="3" t="s">
        <v>480</v>
      </c>
      <c r="W5" s="2">
        <v>0</v>
      </c>
      <c r="X5" s="3" t="s">
        <v>481</v>
      </c>
      <c r="Y5" s="3" t="s">
        <v>481</v>
      </c>
      <c r="Z5" s="3" t="s">
        <v>482</v>
      </c>
      <c r="AA5" s="7" t="s">
        <v>191</v>
      </c>
      <c r="AB5" s="3" t="s">
        <v>483</v>
      </c>
      <c r="AC5" s="3" t="s">
        <v>484</v>
      </c>
      <c r="AD5" s="3"/>
      <c r="AE5" s="4"/>
      <c r="AF5" s="5"/>
      <c r="AG5" s="5"/>
      <c r="AH5" s="5"/>
      <c r="AI5" s="4"/>
      <c r="AJ5" s="3"/>
    </row>
    <row r="6" spans="1:36" ht="38" customHeight="1">
      <c r="A6" s="16" t="s">
        <v>475</v>
      </c>
      <c r="B6" s="17" t="s">
        <v>298</v>
      </c>
      <c r="C6" s="18" t="s">
        <v>299</v>
      </c>
      <c r="D6" s="19" t="s">
        <v>422</v>
      </c>
      <c r="E6" s="20"/>
      <c r="F6" s="18" t="s">
        <v>346</v>
      </c>
      <c r="G6" s="19">
        <v>1</v>
      </c>
      <c r="H6" s="19" t="s">
        <v>289</v>
      </c>
      <c r="I6" s="21"/>
      <c r="J6" s="21"/>
      <c r="K6" s="21"/>
      <c r="L6" s="18" t="s">
        <v>476</v>
      </c>
      <c r="M6" s="22"/>
      <c r="N6" s="23"/>
      <c r="O6" s="19"/>
      <c r="P6" s="23"/>
      <c r="Q6" s="19" t="s">
        <v>477</v>
      </c>
      <c r="R6" s="18" t="s">
        <v>478</v>
      </c>
      <c r="S6" s="19" t="s">
        <v>423</v>
      </c>
      <c r="T6" s="19" t="s">
        <v>424</v>
      </c>
      <c r="U6" s="19" t="s">
        <v>479</v>
      </c>
      <c r="V6" s="18" t="s">
        <v>480</v>
      </c>
      <c r="W6" s="19">
        <v>0</v>
      </c>
      <c r="X6" s="18" t="s">
        <v>481</v>
      </c>
      <c r="Y6" s="18" t="s">
        <v>481</v>
      </c>
      <c r="Z6" s="18" t="s">
        <v>482</v>
      </c>
      <c r="AA6" s="7" t="s">
        <v>191</v>
      </c>
      <c r="AB6" s="18" t="s">
        <v>483</v>
      </c>
      <c r="AC6" s="18" t="s">
        <v>484</v>
      </c>
      <c r="AD6" s="18"/>
      <c r="AE6" s="21"/>
      <c r="AF6" s="24"/>
      <c r="AG6" s="24"/>
      <c r="AH6" s="24"/>
      <c r="AI6" s="21"/>
      <c r="AJ6" s="18"/>
    </row>
    <row r="7" spans="1:36" ht="38" customHeight="1">
      <c r="A7" s="16" t="s">
        <v>475</v>
      </c>
      <c r="B7" s="9" t="s">
        <v>124</v>
      </c>
      <c r="C7" s="3" t="s">
        <v>350</v>
      </c>
      <c r="D7" s="2" t="s">
        <v>429</v>
      </c>
      <c r="E7" s="10"/>
      <c r="F7" s="3" t="s">
        <v>352</v>
      </c>
      <c r="G7" s="2">
        <v>1</v>
      </c>
      <c r="H7" s="2" t="s">
        <v>289</v>
      </c>
      <c r="I7" s="4">
        <v>5.8000000000000003E-2</v>
      </c>
      <c r="J7" s="4">
        <v>0.05</v>
      </c>
      <c r="K7" s="4">
        <v>0</v>
      </c>
      <c r="L7" s="3" t="s">
        <v>485</v>
      </c>
      <c r="M7" s="13">
        <v>1.516</v>
      </c>
      <c r="N7" s="14"/>
      <c r="O7" s="2"/>
      <c r="P7" s="14"/>
      <c r="Q7" s="2" t="s">
        <v>477</v>
      </c>
      <c r="R7" s="3" t="s">
        <v>478</v>
      </c>
      <c r="S7" s="2" t="s">
        <v>423</v>
      </c>
      <c r="T7" s="2" t="s">
        <v>424</v>
      </c>
      <c r="U7" s="2" t="s">
        <v>479</v>
      </c>
      <c r="V7" s="3" t="s">
        <v>480</v>
      </c>
      <c r="W7" s="2">
        <v>0</v>
      </c>
      <c r="X7" s="3" t="s">
        <v>481</v>
      </c>
      <c r="Y7" s="3" t="s">
        <v>481</v>
      </c>
      <c r="Z7" s="3" t="s">
        <v>482</v>
      </c>
      <c r="AA7" s="7" t="s">
        <v>191</v>
      </c>
      <c r="AB7" s="3" t="s">
        <v>486</v>
      </c>
      <c r="AC7" s="3" t="s">
        <v>487</v>
      </c>
      <c r="AD7" s="3" t="s">
        <v>122</v>
      </c>
      <c r="AE7" s="4">
        <v>0.08</v>
      </c>
      <c r="AF7" s="5">
        <v>382640</v>
      </c>
      <c r="AG7" s="5">
        <v>60640</v>
      </c>
      <c r="AH7" s="5">
        <v>322000</v>
      </c>
      <c r="AI7" s="4">
        <v>0.15847794271377799</v>
      </c>
      <c r="AJ7" s="3" t="s">
        <v>126</v>
      </c>
    </row>
    <row r="8" spans="1:36" ht="38" customHeight="1">
      <c r="A8" s="16" t="s">
        <v>475</v>
      </c>
      <c r="B8" s="17" t="s">
        <v>133</v>
      </c>
      <c r="C8" s="18" t="s">
        <v>354</v>
      </c>
      <c r="D8" s="19" t="s">
        <v>429</v>
      </c>
      <c r="E8" s="20"/>
      <c r="F8" s="18" t="s">
        <v>352</v>
      </c>
      <c r="G8" s="19">
        <v>1</v>
      </c>
      <c r="H8" s="19" t="s">
        <v>289</v>
      </c>
      <c r="I8" s="21">
        <v>0.13350000000000001</v>
      </c>
      <c r="J8" s="21">
        <v>0.14000000000000001</v>
      </c>
      <c r="K8" s="21">
        <v>6.5000000000000058E-3</v>
      </c>
      <c r="L8" s="18" t="s">
        <v>488</v>
      </c>
      <c r="M8" s="22">
        <v>1.1679999999999999</v>
      </c>
      <c r="N8" s="23"/>
      <c r="O8" s="19"/>
      <c r="P8" s="23"/>
      <c r="Q8" s="19" t="s">
        <v>477</v>
      </c>
      <c r="R8" s="18" t="s">
        <v>478</v>
      </c>
      <c r="S8" s="19" t="s">
        <v>423</v>
      </c>
      <c r="T8" s="19" t="s">
        <v>424</v>
      </c>
      <c r="U8" s="19" t="s">
        <v>479</v>
      </c>
      <c r="V8" s="18" t="s">
        <v>480</v>
      </c>
      <c r="W8" s="19">
        <v>0</v>
      </c>
      <c r="X8" s="18" t="s">
        <v>481</v>
      </c>
      <c r="Y8" s="18" t="s">
        <v>481</v>
      </c>
      <c r="Z8" s="18" t="s">
        <v>482</v>
      </c>
      <c r="AA8" s="7" t="s">
        <v>191</v>
      </c>
      <c r="AB8" s="18" t="s">
        <v>489</v>
      </c>
      <c r="AC8" s="18" t="s">
        <v>490</v>
      </c>
      <c r="AD8" s="18" t="s">
        <v>131</v>
      </c>
      <c r="AE8" s="21">
        <v>0.08</v>
      </c>
      <c r="AF8" s="24">
        <v>382640</v>
      </c>
      <c r="AG8" s="24">
        <v>139459.20000000001</v>
      </c>
      <c r="AH8" s="24">
        <v>243180.79999999999</v>
      </c>
      <c r="AI8" s="21">
        <v>0.36446581643320097</v>
      </c>
      <c r="AJ8" s="18" t="s">
        <v>126</v>
      </c>
    </row>
    <row r="9" spans="1:36" ht="38" customHeight="1">
      <c r="A9" s="16" t="s">
        <v>475</v>
      </c>
      <c r="B9" s="9" t="s">
        <v>137</v>
      </c>
      <c r="C9" s="3" t="s">
        <v>355</v>
      </c>
      <c r="D9" s="2" t="s">
        <v>422</v>
      </c>
      <c r="E9" s="10"/>
      <c r="F9" s="3" t="s">
        <v>352</v>
      </c>
      <c r="G9" s="2">
        <v>1</v>
      </c>
      <c r="H9" s="2" t="s">
        <v>289</v>
      </c>
      <c r="I9" s="4">
        <v>2.07E-2</v>
      </c>
      <c r="J9" s="4">
        <v>0.02</v>
      </c>
      <c r="K9" s="4">
        <v>0</v>
      </c>
      <c r="L9" s="3" t="s">
        <v>491</v>
      </c>
      <c r="M9" s="13">
        <v>1.4450000000000001</v>
      </c>
      <c r="N9" s="14"/>
      <c r="O9" s="2"/>
      <c r="P9" s="14"/>
      <c r="Q9" s="2" t="s">
        <v>477</v>
      </c>
      <c r="R9" s="3" t="s">
        <v>478</v>
      </c>
      <c r="S9" s="2" t="s">
        <v>423</v>
      </c>
      <c r="T9" s="2" t="s">
        <v>424</v>
      </c>
      <c r="U9" s="2" t="s">
        <v>479</v>
      </c>
      <c r="V9" s="3" t="s">
        <v>480</v>
      </c>
      <c r="W9" s="2">
        <v>0</v>
      </c>
      <c r="X9" s="3" t="s">
        <v>481</v>
      </c>
      <c r="Y9" s="3" t="s">
        <v>481</v>
      </c>
      <c r="Z9" s="3" t="s">
        <v>482</v>
      </c>
      <c r="AA9" s="7" t="s">
        <v>191</v>
      </c>
      <c r="AB9" s="3" t="s">
        <v>486</v>
      </c>
      <c r="AC9" s="3" t="s">
        <v>492</v>
      </c>
      <c r="AD9" s="3" t="s">
        <v>136</v>
      </c>
      <c r="AE9" s="4">
        <v>0.06</v>
      </c>
      <c r="AF9" s="5">
        <v>286980</v>
      </c>
      <c r="AG9" s="5">
        <v>21675</v>
      </c>
      <c r="AH9" s="5">
        <v>265305</v>
      </c>
      <c r="AI9" s="4">
        <v>7.5527911352707505E-2</v>
      </c>
      <c r="AJ9" s="3" t="s">
        <v>126</v>
      </c>
    </row>
    <row r="10" spans="1:36" ht="38" customHeight="1">
      <c r="A10" s="16" t="s">
        <v>475</v>
      </c>
      <c r="B10" s="17" t="s">
        <v>357</v>
      </c>
      <c r="C10" s="18" t="s">
        <v>358</v>
      </c>
      <c r="D10" s="19" t="s">
        <v>422</v>
      </c>
      <c r="E10" s="20"/>
      <c r="F10" s="18" t="s">
        <v>352</v>
      </c>
      <c r="G10" s="19">
        <v>1</v>
      </c>
      <c r="H10" s="19" t="s">
        <v>289</v>
      </c>
      <c r="I10" s="21">
        <v>0</v>
      </c>
      <c r="J10" s="21">
        <v>5.0000000000000001E-3</v>
      </c>
      <c r="K10" s="21">
        <v>5.0000000000000001E-3</v>
      </c>
      <c r="L10" s="18" t="s">
        <v>493</v>
      </c>
      <c r="M10" s="22"/>
      <c r="N10" s="23"/>
      <c r="O10" s="19"/>
      <c r="P10" s="23"/>
      <c r="Q10" s="19" t="s">
        <v>477</v>
      </c>
      <c r="R10" s="18" t="s">
        <v>478</v>
      </c>
      <c r="S10" s="19" t="s">
        <v>423</v>
      </c>
      <c r="T10" s="19" t="s">
        <v>424</v>
      </c>
      <c r="U10" s="19" t="s">
        <v>479</v>
      </c>
      <c r="V10" s="18" t="s">
        <v>480</v>
      </c>
      <c r="W10" s="19">
        <v>0</v>
      </c>
      <c r="X10" s="18" t="s">
        <v>481</v>
      </c>
      <c r="Y10" s="18" t="s">
        <v>481</v>
      </c>
      <c r="Z10" s="18" t="s">
        <v>482</v>
      </c>
      <c r="AA10" s="7" t="s">
        <v>191</v>
      </c>
      <c r="AB10" s="18" t="s">
        <v>494</v>
      </c>
      <c r="AC10" s="18" t="s">
        <v>495</v>
      </c>
      <c r="AD10" s="18"/>
      <c r="AE10" s="21"/>
      <c r="AF10" s="24"/>
      <c r="AG10" s="24"/>
      <c r="AH10" s="24"/>
      <c r="AI10" s="21"/>
      <c r="AJ10" s="18"/>
    </row>
    <row r="11" spans="1:36" ht="38" customHeight="1">
      <c r="A11" s="16" t="s">
        <v>475</v>
      </c>
      <c r="B11" s="9" t="s">
        <v>153</v>
      </c>
      <c r="C11" s="3" t="s">
        <v>151</v>
      </c>
      <c r="D11" s="2" t="s">
        <v>171</v>
      </c>
      <c r="E11" s="10"/>
      <c r="F11" s="3" t="s">
        <v>352</v>
      </c>
      <c r="G11" s="2">
        <v>1</v>
      </c>
      <c r="H11" s="2" t="s">
        <v>289</v>
      </c>
      <c r="I11" s="4">
        <v>6.0600000000000001E-2</v>
      </c>
      <c r="J11" s="4">
        <v>0.03</v>
      </c>
      <c r="K11" s="4">
        <v>0</v>
      </c>
      <c r="L11" s="3" t="s">
        <v>496</v>
      </c>
      <c r="M11" s="13">
        <v>1.712</v>
      </c>
      <c r="N11" s="14"/>
      <c r="O11" s="2"/>
      <c r="P11" s="14"/>
      <c r="Q11" s="2" t="s">
        <v>477</v>
      </c>
      <c r="R11" s="3" t="s">
        <v>478</v>
      </c>
      <c r="S11" s="2" t="s">
        <v>423</v>
      </c>
      <c r="T11" s="2" t="s">
        <v>424</v>
      </c>
      <c r="U11" s="2" t="s">
        <v>479</v>
      </c>
      <c r="V11" s="3" t="s">
        <v>480</v>
      </c>
      <c r="W11" s="2">
        <v>0</v>
      </c>
      <c r="X11" s="3" t="s">
        <v>481</v>
      </c>
      <c r="Y11" s="3" t="s">
        <v>481</v>
      </c>
      <c r="Z11" s="3" t="s">
        <v>482</v>
      </c>
      <c r="AA11" s="7" t="s">
        <v>191</v>
      </c>
      <c r="AB11" s="3" t="s">
        <v>486</v>
      </c>
      <c r="AC11" s="3" t="s">
        <v>497</v>
      </c>
      <c r="AD11" s="3" t="s">
        <v>151</v>
      </c>
      <c r="AE11" s="4">
        <v>0.03</v>
      </c>
      <c r="AF11" s="5">
        <v>143490</v>
      </c>
      <c r="AG11" s="5">
        <v>63344</v>
      </c>
      <c r="AH11" s="5">
        <v>80146</v>
      </c>
      <c r="AI11" s="4">
        <v>0.44145236601853788</v>
      </c>
      <c r="AJ11" s="3" t="s">
        <v>126</v>
      </c>
    </row>
    <row r="12" spans="1:36" ht="38" customHeight="1">
      <c r="A12" s="16" t="s">
        <v>475</v>
      </c>
      <c r="B12" s="17" t="s">
        <v>141</v>
      </c>
      <c r="C12" s="18" t="s">
        <v>360</v>
      </c>
      <c r="D12" s="19" t="s">
        <v>422</v>
      </c>
      <c r="E12" s="20"/>
      <c r="F12" s="18" t="s">
        <v>352</v>
      </c>
      <c r="G12" s="19">
        <v>1</v>
      </c>
      <c r="H12" s="19" t="s">
        <v>289</v>
      </c>
      <c r="I12" s="21">
        <v>0</v>
      </c>
      <c r="J12" s="21">
        <v>0.03</v>
      </c>
      <c r="K12" s="21">
        <v>0.03</v>
      </c>
      <c r="L12" s="18" t="s">
        <v>498</v>
      </c>
      <c r="M12" s="22"/>
      <c r="N12" s="23"/>
      <c r="O12" s="19"/>
      <c r="P12" s="23"/>
      <c r="Q12" s="19" t="s">
        <v>477</v>
      </c>
      <c r="R12" s="18" t="s">
        <v>478</v>
      </c>
      <c r="S12" s="19" t="s">
        <v>423</v>
      </c>
      <c r="T12" s="19" t="s">
        <v>424</v>
      </c>
      <c r="U12" s="19" t="s">
        <v>479</v>
      </c>
      <c r="V12" s="18" t="s">
        <v>480</v>
      </c>
      <c r="W12" s="19">
        <v>0</v>
      </c>
      <c r="X12" s="18" t="s">
        <v>481</v>
      </c>
      <c r="Y12" s="18" t="s">
        <v>481</v>
      </c>
      <c r="Z12" s="18" t="s">
        <v>482</v>
      </c>
      <c r="AA12" s="7" t="s">
        <v>191</v>
      </c>
      <c r="AB12" s="18" t="s">
        <v>494</v>
      </c>
      <c r="AC12" s="18" t="s">
        <v>495</v>
      </c>
      <c r="AD12" s="18" t="s">
        <v>139</v>
      </c>
      <c r="AE12" s="21">
        <v>0.02</v>
      </c>
      <c r="AF12" s="24">
        <v>95660</v>
      </c>
      <c r="AG12" s="24">
        <v>0</v>
      </c>
      <c r="AH12" s="24">
        <v>95660</v>
      </c>
      <c r="AI12" s="21">
        <v>0</v>
      </c>
      <c r="AJ12" s="18" t="s">
        <v>126</v>
      </c>
    </row>
    <row r="13" spans="1:36" ht="38" customHeight="1">
      <c r="A13" s="16" t="s">
        <v>475</v>
      </c>
      <c r="B13" s="9" t="s">
        <v>361</v>
      </c>
      <c r="C13" s="3" t="s">
        <v>156</v>
      </c>
      <c r="D13" s="2" t="s">
        <v>438</v>
      </c>
      <c r="E13" s="10"/>
      <c r="F13" s="3" t="s">
        <v>352</v>
      </c>
      <c r="G13" s="2">
        <v>1</v>
      </c>
      <c r="H13" s="2" t="s">
        <v>289</v>
      </c>
      <c r="I13" s="4">
        <v>7.0199999999999999E-2</v>
      </c>
      <c r="J13" s="4">
        <v>0.06</v>
      </c>
      <c r="K13" s="4">
        <v>0</v>
      </c>
      <c r="L13" s="3" t="s">
        <v>499</v>
      </c>
      <c r="M13" s="13">
        <v>1.323</v>
      </c>
      <c r="N13" s="14"/>
      <c r="O13" s="2"/>
      <c r="P13" s="14"/>
      <c r="Q13" s="2" t="s">
        <v>477</v>
      </c>
      <c r="R13" s="3" t="s">
        <v>478</v>
      </c>
      <c r="S13" s="2" t="s">
        <v>423</v>
      </c>
      <c r="T13" s="2" t="s">
        <v>424</v>
      </c>
      <c r="U13" s="2" t="s">
        <v>479</v>
      </c>
      <c r="V13" s="3" t="s">
        <v>480</v>
      </c>
      <c r="W13" s="2">
        <v>0</v>
      </c>
      <c r="X13" s="3" t="s">
        <v>481</v>
      </c>
      <c r="Y13" s="3" t="s">
        <v>481</v>
      </c>
      <c r="Z13" s="3" t="s">
        <v>482</v>
      </c>
      <c r="AA13" s="7" t="s">
        <v>191</v>
      </c>
      <c r="AB13" s="3" t="s">
        <v>486</v>
      </c>
      <c r="AC13" s="3" t="s">
        <v>500</v>
      </c>
      <c r="AD13" s="3" t="s">
        <v>156</v>
      </c>
      <c r="AE13" s="4">
        <v>0.08</v>
      </c>
      <c r="AF13" s="5">
        <v>382640</v>
      </c>
      <c r="AG13" s="5">
        <v>109274.2</v>
      </c>
      <c r="AH13" s="5">
        <v>273365.8</v>
      </c>
      <c r="AI13" s="4">
        <v>0.28557965711896299</v>
      </c>
      <c r="AJ13" s="3" t="s">
        <v>126</v>
      </c>
    </row>
    <row r="14" spans="1:36" ht="38" customHeight="1">
      <c r="A14" s="16" t="s">
        <v>475</v>
      </c>
      <c r="B14" s="17" t="s">
        <v>162</v>
      </c>
      <c r="C14" s="18" t="s">
        <v>161</v>
      </c>
      <c r="D14" s="19" t="s">
        <v>438</v>
      </c>
      <c r="E14" s="20"/>
      <c r="F14" s="18" t="s">
        <v>352</v>
      </c>
      <c r="G14" s="19">
        <v>1</v>
      </c>
      <c r="H14" s="19" t="s">
        <v>289</v>
      </c>
      <c r="I14" s="21">
        <v>4.0599999999999997E-2</v>
      </c>
      <c r="J14" s="21">
        <v>0.05</v>
      </c>
      <c r="K14" s="21">
        <v>9.4000000000000056E-3</v>
      </c>
      <c r="L14" s="18" t="s">
        <v>501</v>
      </c>
      <c r="M14" s="22">
        <v>1.115</v>
      </c>
      <c r="N14" s="23"/>
      <c r="O14" s="19"/>
      <c r="P14" s="23"/>
      <c r="Q14" s="19" t="s">
        <v>477</v>
      </c>
      <c r="R14" s="18" t="s">
        <v>478</v>
      </c>
      <c r="S14" s="19" t="s">
        <v>423</v>
      </c>
      <c r="T14" s="19" t="s">
        <v>424</v>
      </c>
      <c r="U14" s="19" t="s">
        <v>479</v>
      </c>
      <c r="V14" s="18" t="s">
        <v>480</v>
      </c>
      <c r="W14" s="19">
        <v>0</v>
      </c>
      <c r="X14" s="18" t="s">
        <v>481</v>
      </c>
      <c r="Y14" s="18" t="s">
        <v>481</v>
      </c>
      <c r="Z14" s="18" t="s">
        <v>482</v>
      </c>
      <c r="AA14" s="7" t="s">
        <v>191</v>
      </c>
      <c r="AB14" s="18" t="s">
        <v>494</v>
      </c>
      <c r="AC14" s="18" t="s">
        <v>495</v>
      </c>
      <c r="AD14" s="18" t="s">
        <v>161</v>
      </c>
      <c r="AE14" s="21">
        <v>0.05</v>
      </c>
      <c r="AF14" s="24">
        <v>239150</v>
      </c>
      <c r="AG14" s="24">
        <v>42370</v>
      </c>
      <c r="AH14" s="24">
        <v>196780</v>
      </c>
      <c r="AI14" s="21">
        <v>0.17716914070666939</v>
      </c>
      <c r="AJ14" s="18" t="s">
        <v>126</v>
      </c>
    </row>
    <row r="15" spans="1:36" ht="38" customHeight="1">
      <c r="A15" s="16" t="s">
        <v>475</v>
      </c>
      <c r="B15" s="9" t="s">
        <v>167</v>
      </c>
      <c r="C15" s="3" t="s">
        <v>165</v>
      </c>
      <c r="D15" s="2" t="s">
        <v>442</v>
      </c>
      <c r="E15" s="10"/>
      <c r="F15" s="3" t="s">
        <v>352</v>
      </c>
      <c r="G15" s="2">
        <v>1</v>
      </c>
      <c r="H15" s="2" t="s">
        <v>289</v>
      </c>
      <c r="I15" s="4">
        <v>3.6900000000000002E-2</v>
      </c>
      <c r="J15" s="4">
        <v>0.04</v>
      </c>
      <c r="K15" s="4">
        <v>3.099999999999999E-3</v>
      </c>
      <c r="L15" s="3" t="s">
        <v>502</v>
      </c>
      <c r="M15" s="13">
        <v>12.833</v>
      </c>
      <c r="N15" s="14"/>
      <c r="O15" s="2"/>
      <c r="P15" s="14"/>
      <c r="Q15" s="2" t="s">
        <v>477</v>
      </c>
      <c r="R15" s="3" t="s">
        <v>478</v>
      </c>
      <c r="S15" s="2" t="s">
        <v>423</v>
      </c>
      <c r="T15" s="2" t="s">
        <v>424</v>
      </c>
      <c r="U15" s="2" t="s">
        <v>479</v>
      </c>
      <c r="V15" s="3" t="s">
        <v>480</v>
      </c>
      <c r="W15" s="2">
        <v>0</v>
      </c>
      <c r="X15" s="3" t="s">
        <v>481</v>
      </c>
      <c r="Y15" s="3" t="s">
        <v>481</v>
      </c>
      <c r="Z15" s="3" t="s">
        <v>482</v>
      </c>
      <c r="AA15" s="7" t="s">
        <v>191</v>
      </c>
      <c r="AB15" s="3" t="s">
        <v>494</v>
      </c>
      <c r="AC15" s="3" t="s">
        <v>495</v>
      </c>
      <c r="AD15" s="3" t="s">
        <v>165</v>
      </c>
      <c r="AE15" s="4">
        <v>0.1</v>
      </c>
      <c r="AF15" s="5">
        <v>478300</v>
      </c>
      <c r="AG15" s="5">
        <v>38499</v>
      </c>
      <c r="AH15" s="5">
        <v>439801</v>
      </c>
      <c r="AI15" s="4">
        <v>8.0491323437173329E-2</v>
      </c>
      <c r="AJ15" s="3" t="s">
        <v>126</v>
      </c>
    </row>
    <row r="16" spans="1:36" ht="38" customHeight="1">
      <c r="A16" s="16" t="s">
        <v>475</v>
      </c>
      <c r="B16" s="17" t="s">
        <v>362</v>
      </c>
      <c r="C16" s="18" t="s">
        <v>363</v>
      </c>
      <c r="D16" s="19" t="s">
        <v>445</v>
      </c>
      <c r="E16" s="20"/>
      <c r="F16" s="18" t="s">
        <v>352</v>
      </c>
      <c r="G16" s="19">
        <v>1</v>
      </c>
      <c r="H16" s="19" t="s">
        <v>289</v>
      </c>
      <c r="I16" s="21">
        <v>5.4100000000000002E-2</v>
      </c>
      <c r="J16" s="21">
        <v>0.04</v>
      </c>
      <c r="K16" s="21">
        <v>0</v>
      </c>
      <c r="L16" s="18" t="s">
        <v>503</v>
      </c>
      <c r="M16" s="22">
        <v>141.38800000000001</v>
      </c>
      <c r="N16" s="23"/>
      <c r="O16" s="19"/>
      <c r="P16" s="23"/>
      <c r="Q16" s="19" t="s">
        <v>477</v>
      </c>
      <c r="R16" s="18" t="s">
        <v>478</v>
      </c>
      <c r="S16" s="19" t="s">
        <v>423</v>
      </c>
      <c r="T16" s="19" t="s">
        <v>424</v>
      </c>
      <c r="U16" s="19" t="s">
        <v>479</v>
      </c>
      <c r="V16" s="18" t="s">
        <v>480</v>
      </c>
      <c r="W16" s="19">
        <v>0</v>
      </c>
      <c r="X16" s="18" t="s">
        <v>481</v>
      </c>
      <c r="Y16" s="18" t="s">
        <v>481</v>
      </c>
      <c r="Z16" s="18" t="s">
        <v>482</v>
      </c>
      <c r="AA16" s="7" t="s">
        <v>191</v>
      </c>
      <c r="AB16" s="18" t="s">
        <v>486</v>
      </c>
      <c r="AC16" s="18" t="s">
        <v>504</v>
      </c>
      <c r="AD16" s="18"/>
      <c r="AE16" s="21"/>
      <c r="AF16" s="24"/>
      <c r="AG16" s="24"/>
      <c r="AH16" s="24"/>
      <c r="AI16" s="21"/>
      <c r="AJ16" s="18"/>
    </row>
    <row r="17" spans="1:36" ht="38" customHeight="1">
      <c r="A17" s="16" t="s">
        <v>475</v>
      </c>
      <c r="B17" s="9" t="s">
        <v>364</v>
      </c>
      <c r="C17" s="3" t="s">
        <v>365</v>
      </c>
      <c r="D17" s="2" t="s">
        <v>448</v>
      </c>
      <c r="E17" s="10"/>
      <c r="F17" s="3" t="s">
        <v>352</v>
      </c>
      <c r="G17" s="2">
        <v>1</v>
      </c>
      <c r="H17" s="2" t="s">
        <v>289</v>
      </c>
      <c r="I17" s="4">
        <v>9.3299999999999994E-2</v>
      </c>
      <c r="J17" s="4">
        <v>0.05</v>
      </c>
      <c r="K17" s="4">
        <v>0</v>
      </c>
      <c r="L17" s="3" t="s">
        <v>505</v>
      </c>
      <c r="M17" s="13">
        <v>88.64</v>
      </c>
      <c r="N17" s="14"/>
      <c r="O17" s="2"/>
      <c r="P17" s="14"/>
      <c r="Q17" s="2" t="s">
        <v>477</v>
      </c>
      <c r="R17" s="3" t="s">
        <v>478</v>
      </c>
      <c r="S17" s="2" t="s">
        <v>423</v>
      </c>
      <c r="T17" s="2" t="s">
        <v>424</v>
      </c>
      <c r="U17" s="2" t="s">
        <v>479</v>
      </c>
      <c r="V17" s="3" t="s">
        <v>480</v>
      </c>
      <c r="W17" s="2">
        <v>0</v>
      </c>
      <c r="X17" s="3" t="s">
        <v>481</v>
      </c>
      <c r="Y17" s="3" t="s">
        <v>481</v>
      </c>
      <c r="Z17" s="3" t="s">
        <v>482</v>
      </c>
      <c r="AA17" s="7" t="s">
        <v>191</v>
      </c>
      <c r="AB17" s="3" t="s">
        <v>506</v>
      </c>
      <c r="AC17" s="3" t="s">
        <v>507</v>
      </c>
      <c r="AD17" s="3" t="s">
        <v>145</v>
      </c>
      <c r="AE17" s="4">
        <v>0.03</v>
      </c>
      <c r="AF17" s="5">
        <v>143490</v>
      </c>
      <c r="AG17" s="5">
        <v>191942.39999999999</v>
      </c>
      <c r="AH17" s="5">
        <v>-48452.399999999987</v>
      </c>
      <c r="AI17" s="4">
        <v>1.3376709178339949</v>
      </c>
      <c r="AJ17" s="3" t="s">
        <v>148</v>
      </c>
    </row>
    <row r="18" spans="1:36" ht="38" customHeight="1">
      <c r="A18" s="16" t="s">
        <v>475</v>
      </c>
      <c r="B18" s="17" t="s">
        <v>368</v>
      </c>
      <c r="C18" s="18" t="s">
        <v>369</v>
      </c>
      <c r="D18" s="19" t="s">
        <v>448</v>
      </c>
      <c r="E18" s="20"/>
      <c r="F18" s="18" t="s">
        <v>352</v>
      </c>
      <c r="G18" s="19">
        <v>1</v>
      </c>
      <c r="H18" s="19" t="s">
        <v>289</v>
      </c>
      <c r="I18" s="21">
        <v>5.2900000000000003E-2</v>
      </c>
      <c r="J18" s="21">
        <v>0.02</v>
      </c>
      <c r="K18" s="21">
        <v>0</v>
      </c>
      <c r="L18" s="18" t="s">
        <v>508</v>
      </c>
      <c r="M18" s="22">
        <v>65.260000000000005</v>
      </c>
      <c r="N18" s="23"/>
      <c r="O18" s="19"/>
      <c r="P18" s="23"/>
      <c r="Q18" s="19" t="s">
        <v>477</v>
      </c>
      <c r="R18" s="18" t="s">
        <v>478</v>
      </c>
      <c r="S18" s="19" t="s">
        <v>423</v>
      </c>
      <c r="T18" s="19" t="s">
        <v>424</v>
      </c>
      <c r="U18" s="19" t="s">
        <v>479</v>
      </c>
      <c r="V18" s="18" t="s">
        <v>480</v>
      </c>
      <c r="W18" s="19">
        <v>0</v>
      </c>
      <c r="X18" s="18" t="s">
        <v>481</v>
      </c>
      <c r="Y18" s="18" t="s">
        <v>481</v>
      </c>
      <c r="Z18" s="18" t="s">
        <v>482</v>
      </c>
      <c r="AA18" s="7" t="s">
        <v>191</v>
      </c>
      <c r="AB18" s="18" t="s">
        <v>506</v>
      </c>
      <c r="AC18" s="18" t="s">
        <v>509</v>
      </c>
      <c r="AD18" s="18"/>
      <c r="AE18" s="21"/>
      <c r="AF18" s="24"/>
      <c r="AG18" s="24"/>
      <c r="AH18" s="24"/>
      <c r="AI18" s="21"/>
      <c r="AJ18" s="18"/>
    </row>
    <row r="19" spans="1:36" ht="38" customHeight="1">
      <c r="A19" s="16" t="s">
        <v>475</v>
      </c>
      <c r="B19" s="9" t="s">
        <v>370</v>
      </c>
      <c r="C19" s="3" t="s">
        <v>371</v>
      </c>
      <c r="D19" s="2" t="s">
        <v>448</v>
      </c>
      <c r="E19" s="10"/>
      <c r="F19" s="3" t="s">
        <v>352</v>
      </c>
      <c r="G19" s="2">
        <v>1</v>
      </c>
      <c r="H19" s="2" t="s">
        <v>289</v>
      </c>
      <c r="I19" s="4">
        <v>4.5600000000000002E-2</v>
      </c>
      <c r="J19" s="4">
        <v>0.03</v>
      </c>
      <c r="K19" s="4">
        <v>0</v>
      </c>
      <c r="L19" s="3" t="s">
        <v>510</v>
      </c>
      <c r="M19" s="13">
        <v>1.19</v>
      </c>
      <c r="N19" s="14"/>
      <c r="O19" s="2"/>
      <c r="P19" s="14"/>
      <c r="Q19" s="2" t="s">
        <v>477</v>
      </c>
      <c r="R19" s="3" t="s">
        <v>478</v>
      </c>
      <c r="S19" s="2" t="s">
        <v>423</v>
      </c>
      <c r="T19" s="2" t="s">
        <v>424</v>
      </c>
      <c r="U19" s="2" t="s">
        <v>479</v>
      </c>
      <c r="V19" s="3" t="s">
        <v>480</v>
      </c>
      <c r="W19" s="2">
        <v>0</v>
      </c>
      <c r="X19" s="3" t="s">
        <v>481</v>
      </c>
      <c r="Y19" s="3" t="s">
        <v>481</v>
      </c>
      <c r="Z19" s="3" t="s">
        <v>482</v>
      </c>
      <c r="AA19" s="7" t="s">
        <v>191</v>
      </c>
      <c r="AB19" s="3" t="s">
        <v>506</v>
      </c>
      <c r="AC19" s="3" t="s">
        <v>511</v>
      </c>
      <c r="AD19" s="3" t="s">
        <v>145</v>
      </c>
      <c r="AE19" s="4">
        <v>0.03</v>
      </c>
      <c r="AF19" s="5">
        <v>143490</v>
      </c>
      <c r="AG19" s="5">
        <v>191942.39999999999</v>
      </c>
      <c r="AH19" s="5">
        <v>-48452.399999999987</v>
      </c>
      <c r="AI19" s="4">
        <v>1.3376709178339949</v>
      </c>
      <c r="AJ19" s="3" t="s">
        <v>148</v>
      </c>
    </row>
    <row r="20" spans="1:36" ht="38" customHeight="1">
      <c r="A20" s="16" t="s">
        <v>475</v>
      </c>
      <c r="B20" s="17" t="s">
        <v>372</v>
      </c>
      <c r="C20" s="18" t="s">
        <v>373</v>
      </c>
      <c r="D20" s="19" t="s">
        <v>448</v>
      </c>
      <c r="E20" s="20"/>
      <c r="F20" s="18" t="s">
        <v>352</v>
      </c>
      <c r="G20" s="19">
        <v>1</v>
      </c>
      <c r="H20" s="19" t="s">
        <v>289</v>
      </c>
      <c r="I20" s="21">
        <v>4.48E-2</v>
      </c>
      <c r="J20" s="21">
        <v>0.02</v>
      </c>
      <c r="K20" s="21">
        <v>0</v>
      </c>
      <c r="L20" s="18" t="s">
        <v>512</v>
      </c>
      <c r="M20" s="22">
        <v>2.2959999999999998</v>
      </c>
      <c r="N20" s="23"/>
      <c r="O20" s="19"/>
      <c r="P20" s="23"/>
      <c r="Q20" s="19" t="s">
        <v>477</v>
      </c>
      <c r="R20" s="18" t="s">
        <v>478</v>
      </c>
      <c r="S20" s="19" t="s">
        <v>423</v>
      </c>
      <c r="T20" s="19" t="s">
        <v>424</v>
      </c>
      <c r="U20" s="19" t="s">
        <v>479</v>
      </c>
      <c r="V20" s="18" t="s">
        <v>480</v>
      </c>
      <c r="W20" s="19">
        <v>0</v>
      </c>
      <c r="X20" s="18" t="s">
        <v>481</v>
      </c>
      <c r="Y20" s="18" t="s">
        <v>481</v>
      </c>
      <c r="Z20" s="18" t="s">
        <v>482</v>
      </c>
      <c r="AA20" s="7" t="s">
        <v>191</v>
      </c>
      <c r="AB20" s="18" t="s">
        <v>506</v>
      </c>
      <c r="AC20" s="18" t="s">
        <v>513</v>
      </c>
      <c r="AD20" s="18" t="s">
        <v>145</v>
      </c>
      <c r="AE20" s="21">
        <v>0.03</v>
      </c>
      <c r="AF20" s="24">
        <v>143490</v>
      </c>
      <c r="AG20" s="24">
        <v>191942.39999999999</v>
      </c>
      <c r="AH20" s="24">
        <v>-48452.399999999987</v>
      </c>
      <c r="AI20" s="21">
        <v>1.3376709178339949</v>
      </c>
      <c r="AJ20" s="18" t="s">
        <v>148</v>
      </c>
    </row>
  </sheetData>
  <autoFilter ref="A1:AJ20" xr:uid="{00000000-0009-0000-0000-00000B000000}"/>
  <phoneticPr fontId="3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1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2" customWidth="1"/>
    <col min="2" max="2" width="18" customWidth="1"/>
    <col min="3" max="5" width="14" customWidth="1"/>
    <col min="6" max="6" width="11" customWidth="1"/>
    <col min="7" max="22" width="14" customWidth="1"/>
    <col min="23" max="23" width="26" customWidth="1"/>
    <col min="24" max="28" width="14" customWidth="1"/>
    <col min="29" max="29" width="18" customWidth="1"/>
  </cols>
  <sheetData>
    <row r="1" spans="1:29" ht="30">
      <c r="A1" s="1" t="s">
        <v>279</v>
      </c>
      <c r="B1" s="1" t="s">
        <v>334</v>
      </c>
      <c r="C1" s="1" t="s">
        <v>514</v>
      </c>
      <c r="D1" s="1" t="s">
        <v>515</v>
      </c>
      <c r="E1" s="1" t="s">
        <v>516</v>
      </c>
      <c r="F1" s="1" t="s">
        <v>405</v>
      </c>
      <c r="G1" s="1" t="s">
        <v>517</v>
      </c>
      <c r="H1" s="1" t="s">
        <v>518</v>
      </c>
      <c r="I1" s="1" t="s">
        <v>519</v>
      </c>
      <c r="J1" s="1" t="s">
        <v>520</v>
      </c>
      <c r="K1" s="1" t="s">
        <v>521</v>
      </c>
      <c r="L1" s="1" t="s">
        <v>522</v>
      </c>
      <c r="M1" s="1" t="s">
        <v>523</v>
      </c>
      <c r="N1" s="1" t="s">
        <v>524</v>
      </c>
      <c r="O1" s="1" t="s">
        <v>525</v>
      </c>
      <c r="P1" s="1" t="s">
        <v>526</v>
      </c>
      <c r="Q1" s="1" t="s">
        <v>527</v>
      </c>
      <c r="R1" s="1" t="s">
        <v>528</v>
      </c>
      <c r="S1" s="1" t="s">
        <v>404</v>
      </c>
      <c r="T1" s="1" t="s">
        <v>529</v>
      </c>
      <c r="U1" s="1" t="s">
        <v>530</v>
      </c>
      <c r="V1" s="1" t="s">
        <v>531</v>
      </c>
      <c r="W1" s="1" t="s">
        <v>186</v>
      </c>
      <c r="X1" s="1" t="s">
        <v>187</v>
      </c>
      <c r="Y1" s="1" t="s">
        <v>342</v>
      </c>
      <c r="Z1" s="1" t="s">
        <v>343</v>
      </c>
      <c r="AA1" s="1" t="s">
        <v>111</v>
      </c>
      <c r="AB1" s="1" t="s">
        <v>112</v>
      </c>
      <c r="AC1" s="1" t="s">
        <v>344</v>
      </c>
    </row>
    <row r="2" spans="1:29" ht="15">
      <c r="A2" s="9" t="s">
        <v>133</v>
      </c>
      <c r="B2" s="3" t="s">
        <v>354</v>
      </c>
      <c r="C2" s="2">
        <v>119400</v>
      </c>
      <c r="D2" s="2">
        <v>119400</v>
      </c>
      <c r="E2" s="2">
        <v>1.05</v>
      </c>
      <c r="F2" s="13">
        <v>1.1679999999999999</v>
      </c>
      <c r="G2" s="2" t="s">
        <v>426</v>
      </c>
      <c r="H2" s="2">
        <v>139459.20000000001</v>
      </c>
      <c r="I2" s="2">
        <v>14067.07</v>
      </c>
      <c r="J2" s="2">
        <v>0.11219999999999999</v>
      </c>
      <c r="K2" s="2">
        <v>2865.6</v>
      </c>
      <c r="L2" s="2">
        <v>2.1000000000000001E-2</v>
      </c>
      <c r="M2" s="2">
        <v>1.0629999999999999</v>
      </c>
      <c r="N2" s="2">
        <v>0.13350000000000001</v>
      </c>
      <c r="O2" s="4">
        <v>2.92E-2</v>
      </c>
      <c r="P2" s="2">
        <v>1.1679999999999999</v>
      </c>
      <c r="Q2" s="2">
        <v>139459.20000000001</v>
      </c>
      <c r="R2" s="2">
        <v>0.13350000000000001</v>
      </c>
      <c r="S2" s="2" t="s">
        <v>429</v>
      </c>
      <c r="T2" s="2">
        <v>0.14000000000000001</v>
      </c>
      <c r="U2" s="4">
        <v>-6.4999999999999997E-3</v>
      </c>
      <c r="V2" s="2" t="s">
        <v>400</v>
      </c>
      <c r="W2" s="3" t="s">
        <v>131</v>
      </c>
      <c r="X2" s="4">
        <v>0.08</v>
      </c>
      <c r="Y2" s="5">
        <v>382640</v>
      </c>
      <c r="Z2" s="5">
        <v>139459.20000000001</v>
      </c>
      <c r="AA2" s="5">
        <v>243180.79999999999</v>
      </c>
      <c r="AB2" s="4">
        <v>0.36446581643320097</v>
      </c>
      <c r="AC2" s="3" t="s">
        <v>126</v>
      </c>
    </row>
    <row r="3" spans="1:29" ht="15">
      <c r="A3" s="9" t="s">
        <v>364</v>
      </c>
      <c r="B3" s="3" t="s">
        <v>365</v>
      </c>
      <c r="C3" s="2">
        <v>1100</v>
      </c>
      <c r="D3" s="2">
        <v>1100</v>
      </c>
      <c r="E3" s="2">
        <v>119.39700000000001</v>
      </c>
      <c r="F3" s="13">
        <v>88.64</v>
      </c>
      <c r="G3" s="2" t="s">
        <v>426</v>
      </c>
      <c r="H3" s="2">
        <v>97504</v>
      </c>
      <c r="I3" s="2">
        <v>-33833.18</v>
      </c>
      <c r="J3" s="2">
        <v>-0.2576</v>
      </c>
      <c r="K3" s="2">
        <v>1287</v>
      </c>
      <c r="L3" s="2">
        <v>1.34E-2</v>
      </c>
      <c r="M3" s="2">
        <v>118.517</v>
      </c>
      <c r="N3" s="2">
        <v>9.3299999999999994E-2</v>
      </c>
      <c r="O3" s="4">
        <v>2.0400000000000001E-2</v>
      </c>
      <c r="P3" s="2">
        <v>88.64</v>
      </c>
      <c r="Q3" s="2">
        <v>97504</v>
      </c>
      <c r="R3" s="2">
        <v>9.3299999999999994E-2</v>
      </c>
      <c r="S3" s="2" t="s">
        <v>448</v>
      </c>
      <c r="T3" s="2">
        <v>0.05</v>
      </c>
      <c r="U3" s="4">
        <v>4.3299999999999998E-2</v>
      </c>
      <c r="V3" s="2" t="s">
        <v>401</v>
      </c>
      <c r="W3" s="3" t="s">
        <v>145</v>
      </c>
      <c r="X3" s="4">
        <v>0.03</v>
      </c>
      <c r="Y3" s="5">
        <v>143490</v>
      </c>
      <c r="Z3" s="5">
        <v>191942.39999999999</v>
      </c>
      <c r="AA3" s="5">
        <v>-48452.399999999987</v>
      </c>
      <c r="AB3" s="4">
        <v>1.3376709178339949</v>
      </c>
      <c r="AC3" s="3" t="s">
        <v>148</v>
      </c>
    </row>
    <row r="4" spans="1:29" ht="15">
      <c r="A4" s="9" t="s">
        <v>361</v>
      </c>
      <c r="B4" s="3" t="s">
        <v>156</v>
      </c>
      <c r="C4" s="2">
        <v>55400</v>
      </c>
      <c r="D4" s="2">
        <v>55400</v>
      </c>
      <c r="E4" s="2">
        <v>1.29</v>
      </c>
      <c r="F4" s="13">
        <v>1.323</v>
      </c>
      <c r="G4" s="2" t="s">
        <v>426</v>
      </c>
      <c r="H4" s="2">
        <v>73294.2</v>
      </c>
      <c r="I4" s="2">
        <v>1847.05</v>
      </c>
      <c r="J4" s="2">
        <v>2.58E-2</v>
      </c>
      <c r="K4" s="2">
        <v>498.6</v>
      </c>
      <c r="L4" s="2">
        <v>6.7999999999999996E-3</v>
      </c>
      <c r="M4" s="2">
        <v>1.29</v>
      </c>
      <c r="N4" s="2">
        <v>7.0199999999999999E-2</v>
      </c>
      <c r="O4" s="4">
        <v>1.5299999999999999E-2</v>
      </c>
      <c r="P4" s="2">
        <v>1.323</v>
      </c>
      <c r="Q4" s="2">
        <v>73294.2</v>
      </c>
      <c r="R4" s="2">
        <v>7.0199999999999999E-2</v>
      </c>
      <c r="S4" s="2" t="s">
        <v>438</v>
      </c>
      <c r="T4" s="2">
        <v>0.06</v>
      </c>
      <c r="U4" s="4">
        <v>1.0200000000000001E-2</v>
      </c>
      <c r="V4" s="2" t="s">
        <v>401</v>
      </c>
      <c r="W4" s="3" t="s">
        <v>156</v>
      </c>
      <c r="X4" s="4">
        <v>0.08</v>
      </c>
      <c r="Y4" s="5">
        <v>382640</v>
      </c>
      <c r="Z4" s="5">
        <v>109274.2</v>
      </c>
      <c r="AA4" s="5">
        <v>273365.8</v>
      </c>
      <c r="AB4" s="4">
        <v>0.28557965711896299</v>
      </c>
      <c r="AC4" s="3" t="s">
        <v>126</v>
      </c>
    </row>
    <row r="5" spans="1:29" ht="15">
      <c r="A5" s="9" t="s">
        <v>153</v>
      </c>
      <c r="B5" s="3" t="s">
        <v>151</v>
      </c>
      <c r="C5" s="2">
        <v>37000</v>
      </c>
      <c r="D5" s="2">
        <v>37000</v>
      </c>
      <c r="E5" s="2">
        <v>1.804</v>
      </c>
      <c r="F5" s="13">
        <v>1.712</v>
      </c>
      <c r="G5" s="2" t="s">
        <v>426</v>
      </c>
      <c r="H5" s="2">
        <v>63344</v>
      </c>
      <c r="I5" s="2">
        <v>-3415.68</v>
      </c>
      <c r="J5" s="2">
        <v>-5.1200000000000002E-2</v>
      </c>
      <c r="K5" s="2">
        <v>1480</v>
      </c>
      <c r="L5" s="2">
        <v>2.3900000000000001E-2</v>
      </c>
      <c r="M5" s="2">
        <v>1.804</v>
      </c>
      <c r="N5" s="2">
        <v>6.0600000000000001E-2</v>
      </c>
      <c r="O5" s="4">
        <v>1.32E-2</v>
      </c>
      <c r="P5" s="2">
        <v>1.712</v>
      </c>
      <c r="Q5" s="2">
        <v>63344</v>
      </c>
      <c r="R5" s="2">
        <v>6.0600000000000001E-2</v>
      </c>
      <c r="S5" s="2" t="s">
        <v>171</v>
      </c>
      <c r="T5" s="2">
        <v>0.03</v>
      </c>
      <c r="U5" s="4">
        <v>3.0599999999999999E-2</v>
      </c>
      <c r="V5" s="2" t="s">
        <v>401</v>
      </c>
      <c r="W5" s="3" t="s">
        <v>151</v>
      </c>
      <c r="X5" s="4">
        <v>0.03</v>
      </c>
      <c r="Y5" s="5">
        <v>143490</v>
      </c>
      <c r="Z5" s="5">
        <v>63344</v>
      </c>
      <c r="AA5" s="5">
        <v>80146</v>
      </c>
      <c r="AB5" s="4">
        <v>0.44145236601853788</v>
      </c>
      <c r="AC5" s="3" t="s">
        <v>126</v>
      </c>
    </row>
    <row r="6" spans="1:29" ht="15">
      <c r="A6" s="9" t="s">
        <v>124</v>
      </c>
      <c r="B6" s="3" t="s">
        <v>350</v>
      </c>
      <c r="C6" s="2">
        <v>40000</v>
      </c>
      <c r="D6" s="2">
        <v>20000</v>
      </c>
      <c r="E6" s="2">
        <v>1.44</v>
      </c>
      <c r="F6" s="13">
        <v>1.516</v>
      </c>
      <c r="G6" s="2" t="s">
        <v>426</v>
      </c>
      <c r="H6" s="2">
        <v>60640</v>
      </c>
      <c r="I6" s="2">
        <v>3034.24</v>
      </c>
      <c r="J6" s="2">
        <v>5.2699999999999997E-2</v>
      </c>
      <c r="K6" s="2">
        <v>496.98</v>
      </c>
      <c r="L6" s="2">
        <v>8.3000000000000001E-3</v>
      </c>
      <c r="M6" s="2">
        <v>1.44</v>
      </c>
      <c r="N6" s="2">
        <v>5.8000000000000003E-2</v>
      </c>
      <c r="O6" s="4">
        <v>1.2699999999999999E-2</v>
      </c>
      <c r="P6" s="2">
        <v>1.516</v>
      </c>
      <c r="Q6" s="2">
        <v>60640</v>
      </c>
      <c r="R6" s="2">
        <v>5.8000000000000003E-2</v>
      </c>
      <c r="S6" s="2" t="s">
        <v>429</v>
      </c>
      <c r="T6" s="2">
        <v>0.05</v>
      </c>
      <c r="U6" s="4">
        <v>8.0000000000000002E-3</v>
      </c>
      <c r="V6" s="2" t="s">
        <v>401</v>
      </c>
      <c r="W6" s="3" t="s">
        <v>122</v>
      </c>
      <c r="X6" s="4">
        <v>0.08</v>
      </c>
      <c r="Y6" s="5">
        <v>382640</v>
      </c>
      <c r="Z6" s="5">
        <v>60640</v>
      </c>
      <c r="AA6" s="5">
        <v>322000</v>
      </c>
      <c r="AB6" s="4">
        <v>0.15847794271377799</v>
      </c>
      <c r="AC6" s="3" t="s">
        <v>126</v>
      </c>
    </row>
    <row r="7" spans="1:29" ht="15">
      <c r="A7" s="9" t="s">
        <v>362</v>
      </c>
      <c r="B7" s="3" t="s">
        <v>363</v>
      </c>
      <c r="C7" s="2">
        <v>400</v>
      </c>
      <c r="D7" s="2">
        <v>400</v>
      </c>
      <c r="E7" s="2">
        <v>141.22399999999999</v>
      </c>
      <c r="F7" s="13">
        <v>141.38800000000001</v>
      </c>
      <c r="G7" s="2" t="s">
        <v>426</v>
      </c>
      <c r="H7" s="2">
        <v>56555.199999999997</v>
      </c>
      <c r="I7" s="2">
        <v>65.7</v>
      </c>
      <c r="J7" s="2">
        <v>1.1999999999999999E-3</v>
      </c>
      <c r="K7" s="2">
        <v>16</v>
      </c>
      <c r="L7" s="2">
        <v>2.9999999999999997E-4</v>
      </c>
      <c r="M7" s="2">
        <v>141.22399999999999</v>
      </c>
      <c r="N7" s="2">
        <v>5.4100000000000002E-2</v>
      </c>
      <c r="O7" s="4">
        <v>1.18E-2</v>
      </c>
      <c r="P7" s="2">
        <v>141.38800000000001</v>
      </c>
      <c r="Q7" s="2">
        <v>56555.199999999997</v>
      </c>
      <c r="R7" s="2">
        <v>5.4100000000000002E-2</v>
      </c>
      <c r="S7" s="2" t="s">
        <v>445</v>
      </c>
      <c r="T7" s="2">
        <v>0.04</v>
      </c>
      <c r="U7" s="4">
        <v>1.41E-2</v>
      </c>
      <c r="V7" s="2" t="s">
        <v>401</v>
      </c>
      <c r="W7" s="3"/>
      <c r="X7" s="4"/>
      <c r="Y7" s="5"/>
      <c r="Z7" s="5"/>
      <c r="AA7" s="5"/>
      <c r="AB7" s="4"/>
      <c r="AC7" s="3"/>
    </row>
    <row r="8" spans="1:29" ht="15">
      <c r="A8" s="9" t="s">
        <v>368</v>
      </c>
      <c r="B8" s="3" t="s">
        <v>369</v>
      </c>
      <c r="C8" s="2">
        <v>847</v>
      </c>
      <c r="D8" s="2">
        <v>847</v>
      </c>
      <c r="E8" s="2">
        <v>126.04600000000001</v>
      </c>
      <c r="F8" s="13">
        <v>65.260000000000005</v>
      </c>
      <c r="G8" s="2" t="s">
        <v>426</v>
      </c>
      <c r="H8" s="2">
        <v>55275.22</v>
      </c>
      <c r="I8" s="2">
        <v>-51485.42</v>
      </c>
      <c r="J8" s="2">
        <v>-0.48230000000000001</v>
      </c>
      <c r="K8" s="2">
        <v>296.45</v>
      </c>
      <c r="L8" s="2">
        <v>5.4000000000000003E-3</v>
      </c>
      <c r="M8" s="2">
        <v>76.406999999999996</v>
      </c>
      <c r="N8" s="2">
        <v>5.2900000000000003E-2</v>
      </c>
      <c r="O8" s="4">
        <v>1.1599999999999999E-2</v>
      </c>
      <c r="P8" s="2">
        <v>65.260000000000005</v>
      </c>
      <c r="Q8" s="2">
        <v>55275.22</v>
      </c>
      <c r="R8" s="2">
        <v>5.2900000000000003E-2</v>
      </c>
      <c r="S8" s="2" t="s">
        <v>448</v>
      </c>
      <c r="T8" s="2">
        <v>0.02</v>
      </c>
      <c r="U8" s="4">
        <v>3.2899999999999999E-2</v>
      </c>
      <c r="V8" s="2" t="s">
        <v>401</v>
      </c>
      <c r="W8" s="3"/>
      <c r="X8" s="4"/>
      <c r="Y8" s="5"/>
      <c r="Z8" s="5"/>
      <c r="AA8" s="5"/>
      <c r="AB8" s="4"/>
      <c r="AC8" s="3"/>
    </row>
    <row r="9" spans="1:29" ht="15">
      <c r="A9" s="9" t="s">
        <v>370</v>
      </c>
      <c r="B9" s="3" t="s">
        <v>371</v>
      </c>
      <c r="C9" s="2">
        <v>40000</v>
      </c>
      <c r="D9" s="2">
        <v>40000</v>
      </c>
      <c r="E9" s="2">
        <v>1.26</v>
      </c>
      <c r="F9" s="13">
        <v>1.19</v>
      </c>
      <c r="G9" s="2" t="s">
        <v>426</v>
      </c>
      <c r="H9" s="2">
        <v>47600</v>
      </c>
      <c r="I9" s="2">
        <v>-2814.49</v>
      </c>
      <c r="J9" s="2">
        <v>-5.5899999999999998E-2</v>
      </c>
      <c r="K9" s="2">
        <v>-1560</v>
      </c>
      <c r="L9" s="2">
        <v>-3.1699999999999999E-2</v>
      </c>
      <c r="M9" s="2">
        <v>1.258</v>
      </c>
      <c r="N9" s="2">
        <v>4.5600000000000002E-2</v>
      </c>
      <c r="O9" s="4">
        <v>0.01</v>
      </c>
      <c r="P9" s="2">
        <v>1.19</v>
      </c>
      <c r="Q9" s="2">
        <v>47600</v>
      </c>
      <c r="R9" s="2">
        <v>4.5600000000000002E-2</v>
      </c>
      <c r="S9" s="2" t="s">
        <v>448</v>
      </c>
      <c r="T9" s="2">
        <v>0.03</v>
      </c>
      <c r="U9" s="4">
        <v>1.5599999999999999E-2</v>
      </c>
      <c r="V9" s="2" t="s">
        <v>401</v>
      </c>
      <c r="W9" s="3" t="s">
        <v>145</v>
      </c>
      <c r="X9" s="4">
        <v>0.03</v>
      </c>
      <c r="Y9" s="5">
        <v>143490</v>
      </c>
      <c r="Z9" s="5">
        <v>191942.39999999999</v>
      </c>
      <c r="AA9" s="5">
        <v>-48452.399999999987</v>
      </c>
      <c r="AB9" s="4">
        <v>1.3376709178339949</v>
      </c>
      <c r="AC9" s="3" t="s">
        <v>148</v>
      </c>
    </row>
    <row r="10" spans="1:29" ht="15">
      <c r="A10" s="9" t="s">
        <v>372</v>
      </c>
      <c r="B10" s="3" t="s">
        <v>373</v>
      </c>
      <c r="C10" s="2">
        <v>20400</v>
      </c>
      <c r="D10" s="2">
        <v>20400</v>
      </c>
      <c r="E10" s="2">
        <v>2.3460000000000001</v>
      </c>
      <c r="F10" s="13">
        <v>2.2959999999999998</v>
      </c>
      <c r="G10" s="2" t="s">
        <v>426</v>
      </c>
      <c r="H10" s="2">
        <v>46838.400000000001</v>
      </c>
      <c r="I10" s="2">
        <v>-1011.99</v>
      </c>
      <c r="J10" s="2">
        <v>-2.1100000000000001E-2</v>
      </c>
      <c r="K10" s="2">
        <v>0</v>
      </c>
      <c r="L10" s="2">
        <v>0</v>
      </c>
      <c r="M10" s="2">
        <v>2.3460000000000001</v>
      </c>
      <c r="N10" s="2">
        <v>4.48E-2</v>
      </c>
      <c r="O10" s="4">
        <v>9.7999999999999997E-3</v>
      </c>
      <c r="P10" s="2">
        <v>2.2959999999999998</v>
      </c>
      <c r="Q10" s="2">
        <v>46838.400000000001</v>
      </c>
      <c r="R10" s="2">
        <v>4.48E-2</v>
      </c>
      <c r="S10" s="2" t="s">
        <v>448</v>
      </c>
      <c r="T10" s="2">
        <v>0.02</v>
      </c>
      <c r="U10" s="4">
        <v>2.4799999999999999E-2</v>
      </c>
      <c r="V10" s="2" t="s">
        <v>401</v>
      </c>
      <c r="W10" s="3" t="s">
        <v>145</v>
      </c>
      <c r="X10" s="4">
        <v>0.03</v>
      </c>
      <c r="Y10" s="5">
        <v>143490</v>
      </c>
      <c r="Z10" s="5">
        <v>191942.39999999999</v>
      </c>
      <c r="AA10" s="5">
        <v>-48452.399999999987</v>
      </c>
      <c r="AB10" s="4">
        <v>1.3376709178339949</v>
      </c>
      <c r="AC10" s="3" t="s">
        <v>148</v>
      </c>
    </row>
    <row r="11" spans="1:29" ht="15">
      <c r="A11" s="9" t="s">
        <v>162</v>
      </c>
      <c r="B11" s="3" t="s">
        <v>161</v>
      </c>
      <c r="C11" s="2">
        <v>38000</v>
      </c>
      <c r="D11" s="2">
        <v>38000</v>
      </c>
      <c r="E11" s="2">
        <v>1.1599999999999999</v>
      </c>
      <c r="F11" s="13">
        <v>1.115</v>
      </c>
      <c r="G11" s="2" t="s">
        <v>426</v>
      </c>
      <c r="H11" s="2">
        <v>42370</v>
      </c>
      <c r="I11" s="2">
        <v>-1704.41</v>
      </c>
      <c r="J11" s="2">
        <v>-3.8699999999999998E-2</v>
      </c>
      <c r="K11" s="2">
        <v>-950</v>
      </c>
      <c r="L11" s="2">
        <v>-2.1899999999999999E-2</v>
      </c>
      <c r="M11" s="2">
        <v>1.1599999999999999</v>
      </c>
      <c r="N11" s="2">
        <v>4.0599999999999997E-2</v>
      </c>
      <c r="O11" s="4">
        <v>8.8999999999999999E-3</v>
      </c>
      <c r="P11" s="2">
        <v>1.115</v>
      </c>
      <c r="Q11" s="2">
        <v>42370</v>
      </c>
      <c r="R11" s="2">
        <v>4.0599999999999997E-2</v>
      </c>
      <c r="S11" s="2" t="s">
        <v>438</v>
      </c>
      <c r="T11" s="2">
        <v>0.05</v>
      </c>
      <c r="U11" s="4">
        <v>-9.4000000000000004E-3</v>
      </c>
      <c r="V11" s="2" t="s">
        <v>400</v>
      </c>
      <c r="W11" s="3" t="s">
        <v>161</v>
      </c>
      <c r="X11" s="4">
        <v>0.05</v>
      </c>
      <c r="Y11" s="5">
        <v>239150</v>
      </c>
      <c r="Z11" s="5">
        <v>42370</v>
      </c>
      <c r="AA11" s="5">
        <v>196780</v>
      </c>
      <c r="AB11" s="4">
        <v>0.17716914070666939</v>
      </c>
      <c r="AC11" s="3" t="s">
        <v>126</v>
      </c>
    </row>
    <row r="12" spans="1:29" ht="15">
      <c r="A12" s="9" t="s">
        <v>167</v>
      </c>
      <c r="B12" s="3" t="s">
        <v>165</v>
      </c>
      <c r="C12" s="2">
        <v>3000</v>
      </c>
      <c r="D12" s="2">
        <v>3000</v>
      </c>
      <c r="E12" s="2">
        <v>12.824999999999999</v>
      </c>
      <c r="F12" s="13">
        <v>12.833</v>
      </c>
      <c r="G12" s="2" t="s">
        <v>426</v>
      </c>
      <c r="H12" s="2">
        <v>38499</v>
      </c>
      <c r="I12" s="2">
        <v>24</v>
      </c>
      <c r="J12" s="2">
        <v>5.9999999999999995E-4</v>
      </c>
      <c r="K12" s="2">
        <v>-189</v>
      </c>
      <c r="L12" s="2">
        <v>-4.8999999999999998E-3</v>
      </c>
      <c r="M12" s="2">
        <v>12.824999999999999</v>
      </c>
      <c r="N12" s="2">
        <v>3.6900000000000002E-2</v>
      </c>
      <c r="O12" s="4">
        <v>8.0000000000000002E-3</v>
      </c>
      <c r="P12" s="2">
        <v>12.833</v>
      </c>
      <c r="Q12" s="2">
        <v>38499</v>
      </c>
      <c r="R12" s="2">
        <v>3.6900000000000002E-2</v>
      </c>
      <c r="S12" s="2" t="s">
        <v>442</v>
      </c>
      <c r="T12" s="2">
        <v>0.04</v>
      </c>
      <c r="U12" s="4">
        <v>-3.0999999999999999E-3</v>
      </c>
      <c r="V12" s="2" t="s">
        <v>400</v>
      </c>
      <c r="W12" s="3" t="s">
        <v>165</v>
      </c>
      <c r="X12" s="4">
        <v>0.1</v>
      </c>
      <c r="Y12" s="5">
        <v>478300</v>
      </c>
      <c r="Z12" s="5">
        <v>38499</v>
      </c>
      <c r="AA12" s="5">
        <v>439801</v>
      </c>
      <c r="AB12" s="4">
        <v>8.0491323437173329E-2</v>
      </c>
      <c r="AC12" s="3" t="s">
        <v>126</v>
      </c>
    </row>
    <row r="13" spans="1:29" ht="15">
      <c r="A13" s="9" t="s">
        <v>402</v>
      </c>
      <c r="B13" s="3" t="s">
        <v>403</v>
      </c>
      <c r="C13" s="2">
        <v>35000</v>
      </c>
      <c r="D13" s="2">
        <v>35000</v>
      </c>
      <c r="E13" s="2">
        <v>0.90300000000000002</v>
      </c>
      <c r="F13" s="13">
        <v>1.028</v>
      </c>
      <c r="G13" s="2" t="s">
        <v>426</v>
      </c>
      <c r="H13" s="2">
        <v>35980</v>
      </c>
      <c r="I13" s="2">
        <v>4374.49</v>
      </c>
      <c r="J13" s="2">
        <v>0.1384</v>
      </c>
      <c r="K13" s="2">
        <v>-175</v>
      </c>
      <c r="L13" s="2">
        <v>-4.7999999999999996E-3</v>
      </c>
      <c r="M13" s="2">
        <v>0.98299999999999998</v>
      </c>
      <c r="N13" s="2">
        <v>3.44E-2</v>
      </c>
      <c r="O13" s="4">
        <v>7.4999999999999997E-3</v>
      </c>
      <c r="P13" s="2">
        <v>1.028</v>
      </c>
      <c r="Q13" s="2">
        <v>35980</v>
      </c>
      <c r="R13" s="2">
        <v>3.44E-2</v>
      </c>
      <c r="S13" s="2" t="s">
        <v>448</v>
      </c>
      <c r="T13" s="2">
        <v>0.04</v>
      </c>
      <c r="U13" s="4">
        <v>-5.5999999999999999E-3</v>
      </c>
      <c r="V13" s="2" t="s">
        <v>400</v>
      </c>
      <c r="W13" s="3" t="s">
        <v>156</v>
      </c>
      <c r="X13" s="4">
        <v>0.08</v>
      </c>
      <c r="Y13" s="5">
        <v>382640</v>
      </c>
      <c r="Z13" s="5">
        <v>109274.2</v>
      </c>
      <c r="AA13" s="5">
        <v>273365.8</v>
      </c>
      <c r="AB13" s="4">
        <v>0.28557965711896299</v>
      </c>
      <c r="AC13" s="3" t="s">
        <v>126</v>
      </c>
    </row>
    <row r="14" spans="1:29" ht="15">
      <c r="A14" s="9" t="s">
        <v>137</v>
      </c>
      <c r="B14" s="3" t="s">
        <v>355</v>
      </c>
      <c r="C14" s="2">
        <v>15000</v>
      </c>
      <c r="D14" s="2">
        <v>15000</v>
      </c>
      <c r="E14" s="2">
        <v>1.387</v>
      </c>
      <c r="F14" s="13">
        <v>1.4450000000000001</v>
      </c>
      <c r="G14" s="2" t="s">
        <v>426</v>
      </c>
      <c r="H14" s="2">
        <v>21675</v>
      </c>
      <c r="I14" s="2">
        <v>872.92</v>
      </c>
      <c r="J14" s="2">
        <v>4.2000000000000003E-2</v>
      </c>
      <c r="K14" s="2">
        <v>570</v>
      </c>
      <c r="L14" s="2">
        <v>2.7E-2</v>
      </c>
      <c r="M14" s="2">
        <v>1.387</v>
      </c>
      <c r="N14" s="2">
        <v>2.07E-2</v>
      </c>
      <c r="O14" s="4">
        <v>4.4999999999999997E-3</v>
      </c>
      <c r="P14" s="2">
        <v>1.4450000000000001</v>
      </c>
      <c r="Q14" s="2">
        <v>21675</v>
      </c>
      <c r="R14" s="2">
        <v>2.07E-2</v>
      </c>
      <c r="S14" s="2" t="s">
        <v>422</v>
      </c>
      <c r="T14" s="2">
        <v>0.02</v>
      </c>
      <c r="U14" s="4">
        <v>6.9999999999999999E-4</v>
      </c>
      <c r="V14" s="2" t="s">
        <v>400</v>
      </c>
      <c r="W14" s="3" t="s">
        <v>136</v>
      </c>
      <c r="X14" s="4">
        <v>0.06</v>
      </c>
      <c r="Y14" s="5">
        <v>286980</v>
      </c>
      <c r="Z14" s="5">
        <v>21675</v>
      </c>
      <c r="AA14" s="5">
        <v>265305</v>
      </c>
      <c r="AB14" s="4">
        <v>7.5527911352707505E-2</v>
      </c>
      <c r="AC14" s="3" t="s">
        <v>126</v>
      </c>
    </row>
  </sheetData>
  <autoFilter ref="A1:AC14" xr:uid="{00000000-0009-0000-0000-00000C000000}"/>
  <phoneticPr fontId="3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T1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2" customWidth="1"/>
    <col min="2" max="2" width="18" customWidth="1"/>
    <col min="3" max="3" width="14" customWidth="1"/>
    <col min="4" max="4" width="11" customWidth="1"/>
    <col min="5" max="7" width="10" customWidth="1"/>
    <col min="8" max="9" width="15" customWidth="1"/>
    <col min="10" max="10" width="14" customWidth="1"/>
    <col min="11" max="11" width="24" customWidth="1"/>
    <col min="12" max="12" width="14" customWidth="1"/>
    <col min="13" max="13" width="42" customWidth="1"/>
    <col min="14" max="14" width="26" customWidth="1"/>
    <col min="15" max="19" width="14" customWidth="1"/>
    <col min="20" max="20" width="18" customWidth="1"/>
  </cols>
  <sheetData>
    <row r="1" spans="1:20" ht="30">
      <c r="A1" s="1" t="s">
        <v>279</v>
      </c>
      <c r="B1" s="1" t="s">
        <v>334</v>
      </c>
      <c r="C1" s="1" t="s">
        <v>532</v>
      </c>
      <c r="D1" s="1" t="s">
        <v>405</v>
      </c>
      <c r="E1" s="1" t="s">
        <v>406</v>
      </c>
      <c r="F1" s="1" t="s">
        <v>408</v>
      </c>
      <c r="G1" s="1" t="s">
        <v>409</v>
      </c>
      <c r="H1" s="1" t="s">
        <v>411</v>
      </c>
      <c r="I1" s="1" t="s">
        <v>412</v>
      </c>
      <c r="J1" s="1" t="s">
        <v>533</v>
      </c>
      <c r="K1" s="1" t="s">
        <v>534</v>
      </c>
      <c r="L1" s="1" t="s">
        <v>535</v>
      </c>
      <c r="M1" s="1" t="s">
        <v>49</v>
      </c>
      <c r="N1" s="1" t="s">
        <v>186</v>
      </c>
      <c r="O1" s="1" t="s">
        <v>187</v>
      </c>
      <c r="P1" s="1" t="s">
        <v>342</v>
      </c>
      <c r="Q1" s="1" t="s">
        <v>343</v>
      </c>
      <c r="R1" s="1" t="s">
        <v>111</v>
      </c>
      <c r="S1" s="1" t="s">
        <v>112</v>
      </c>
      <c r="T1" s="1" t="s">
        <v>344</v>
      </c>
    </row>
    <row r="2" spans="1:20" ht="30">
      <c r="A2" s="17" t="s">
        <v>133</v>
      </c>
      <c r="B2" s="18" t="s">
        <v>354</v>
      </c>
      <c r="C2" s="19" t="s">
        <v>536</v>
      </c>
      <c r="D2" s="22">
        <v>1.1679999999999999</v>
      </c>
      <c r="E2" s="23"/>
      <c r="F2" s="22"/>
      <c r="G2" s="22"/>
      <c r="H2" s="25"/>
      <c r="I2" s="25"/>
      <c r="J2" s="19" t="s">
        <v>537</v>
      </c>
      <c r="K2" s="18" t="s">
        <v>538</v>
      </c>
      <c r="L2" s="19" t="s">
        <v>537</v>
      </c>
      <c r="M2" s="18" t="s">
        <v>539</v>
      </c>
      <c r="N2" s="18" t="s">
        <v>131</v>
      </c>
      <c r="O2" s="21">
        <v>0.08</v>
      </c>
      <c r="P2" s="24">
        <v>382640</v>
      </c>
      <c r="Q2" s="24">
        <v>139459.20000000001</v>
      </c>
      <c r="R2" s="24">
        <v>243180.79999999999</v>
      </c>
      <c r="S2" s="21">
        <v>0.36446581643320097</v>
      </c>
      <c r="T2" s="18" t="s">
        <v>126</v>
      </c>
    </row>
    <row r="3" spans="1:20" ht="15">
      <c r="A3" s="9" t="s">
        <v>364</v>
      </c>
      <c r="B3" s="3" t="s">
        <v>365</v>
      </c>
      <c r="C3" s="2" t="s">
        <v>540</v>
      </c>
      <c r="D3" s="13">
        <v>88.64</v>
      </c>
      <c r="E3" s="14"/>
      <c r="F3" s="13"/>
      <c r="G3" s="13"/>
      <c r="H3" s="15"/>
      <c r="I3" s="15"/>
      <c r="J3" s="2" t="s">
        <v>537</v>
      </c>
      <c r="K3" s="3" t="s">
        <v>541</v>
      </c>
      <c r="L3" s="2" t="s">
        <v>537</v>
      </c>
      <c r="M3" s="3" t="s">
        <v>542</v>
      </c>
      <c r="N3" s="3" t="s">
        <v>145</v>
      </c>
      <c r="O3" s="4">
        <v>0.03</v>
      </c>
      <c r="P3" s="5">
        <v>143490</v>
      </c>
      <c r="Q3" s="5">
        <v>191942.39999999999</v>
      </c>
      <c r="R3" s="5">
        <v>-48452.399999999987</v>
      </c>
      <c r="S3" s="4">
        <v>1.3376709178339949</v>
      </c>
      <c r="T3" s="3" t="s">
        <v>148</v>
      </c>
    </row>
    <row r="4" spans="1:20" ht="15">
      <c r="A4" s="17" t="s">
        <v>361</v>
      </c>
      <c r="B4" s="18" t="s">
        <v>156</v>
      </c>
      <c r="C4" s="19" t="s">
        <v>540</v>
      </c>
      <c r="D4" s="22">
        <v>1.323</v>
      </c>
      <c r="E4" s="23"/>
      <c r="F4" s="22"/>
      <c r="G4" s="22"/>
      <c r="H4" s="25"/>
      <c r="I4" s="25"/>
      <c r="J4" s="19" t="s">
        <v>537</v>
      </c>
      <c r="K4" s="18" t="s">
        <v>541</v>
      </c>
      <c r="L4" s="19" t="s">
        <v>537</v>
      </c>
      <c r="M4" s="18" t="s">
        <v>542</v>
      </c>
      <c r="N4" s="18" t="s">
        <v>156</v>
      </c>
      <c r="O4" s="21">
        <v>0.08</v>
      </c>
      <c r="P4" s="24">
        <v>382640</v>
      </c>
      <c r="Q4" s="24">
        <v>109274.2</v>
      </c>
      <c r="R4" s="24">
        <v>273365.8</v>
      </c>
      <c r="S4" s="21">
        <v>0.28557965711896299</v>
      </c>
      <c r="T4" s="18" t="s">
        <v>126</v>
      </c>
    </row>
    <row r="5" spans="1:20" ht="15">
      <c r="A5" s="9" t="s">
        <v>153</v>
      </c>
      <c r="B5" s="3" t="s">
        <v>151</v>
      </c>
      <c r="C5" s="2" t="s">
        <v>540</v>
      </c>
      <c r="D5" s="13">
        <v>1.712</v>
      </c>
      <c r="E5" s="14"/>
      <c r="F5" s="13"/>
      <c r="G5" s="13"/>
      <c r="H5" s="15"/>
      <c r="I5" s="15"/>
      <c r="J5" s="2" t="s">
        <v>537</v>
      </c>
      <c r="K5" s="3" t="s">
        <v>541</v>
      </c>
      <c r="L5" s="2" t="s">
        <v>537</v>
      </c>
      <c r="M5" s="3" t="s">
        <v>542</v>
      </c>
      <c r="N5" s="3" t="s">
        <v>151</v>
      </c>
      <c r="O5" s="4">
        <v>0.03</v>
      </c>
      <c r="P5" s="5">
        <v>143490</v>
      </c>
      <c r="Q5" s="5">
        <v>63344</v>
      </c>
      <c r="R5" s="5">
        <v>80146</v>
      </c>
      <c r="S5" s="4">
        <v>0.44145236601853788</v>
      </c>
      <c r="T5" s="3" t="s">
        <v>126</v>
      </c>
    </row>
    <row r="6" spans="1:20" ht="15">
      <c r="A6" s="17" t="s">
        <v>124</v>
      </c>
      <c r="B6" s="18" t="s">
        <v>350</v>
      </c>
      <c r="C6" s="19" t="s">
        <v>540</v>
      </c>
      <c r="D6" s="22">
        <v>1.516</v>
      </c>
      <c r="E6" s="23"/>
      <c r="F6" s="22"/>
      <c r="G6" s="22"/>
      <c r="H6" s="25"/>
      <c r="I6" s="25"/>
      <c r="J6" s="19" t="s">
        <v>537</v>
      </c>
      <c r="K6" s="18" t="s">
        <v>541</v>
      </c>
      <c r="L6" s="19" t="s">
        <v>537</v>
      </c>
      <c r="M6" s="18" t="s">
        <v>542</v>
      </c>
      <c r="N6" s="18" t="s">
        <v>122</v>
      </c>
      <c r="O6" s="21">
        <v>0.08</v>
      </c>
      <c r="P6" s="24">
        <v>382640</v>
      </c>
      <c r="Q6" s="24">
        <v>60640</v>
      </c>
      <c r="R6" s="24">
        <v>322000</v>
      </c>
      <c r="S6" s="21">
        <v>0.15847794271377799</v>
      </c>
      <c r="T6" s="18" t="s">
        <v>126</v>
      </c>
    </row>
    <row r="7" spans="1:20" ht="15">
      <c r="A7" s="9" t="s">
        <v>362</v>
      </c>
      <c r="B7" s="3" t="s">
        <v>363</v>
      </c>
      <c r="C7" s="2" t="s">
        <v>540</v>
      </c>
      <c r="D7" s="13">
        <v>141.38800000000001</v>
      </c>
      <c r="E7" s="14"/>
      <c r="F7" s="13"/>
      <c r="G7" s="13"/>
      <c r="H7" s="15"/>
      <c r="I7" s="15"/>
      <c r="J7" s="2" t="s">
        <v>537</v>
      </c>
      <c r="K7" s="3" t="s">
        <v>541</v>
      </c>
      <c r="L7" s="2" t="s">
        <v>537</v>
      </c>
      <c r="M7" s="3" t="s">
        <v>542</v>
      </c>
      <c r="N7" s="3"/>
      <c r="O7" s="4"/>
      <c r="P7" s="5"/>
      <c r="Q7" s="5"/>
      <c r="R7" s="5"/>
      <c r="S7" s="4"/>
      <c r="T7" s="3"/>
    </row>
    <row r="8" spans="1:20" ht="15">
      <c r="A8" s="17" t="s">
        <v>368</v>
      </c>
      <c r="B8" s="18" t="s">
        <v>369</v>
      </c>
      <c r="C8" s="19" t="s">
        <v>540</v>
      </c>
      <c r="D8" s="22">
        <v>65.260000000000005</v>
      </c>
      <c r="E8" s="23"/>
      <c r="F8" s="22"/>
      <c r="G8" s="22"/>
      <c r="H8" s="25"/>
      <c r="I8" s="25"/>
      <c r="J8" s="19" t="s">
        <v>537</v>
      </c>
      <c r="K8" s="18" t="s">
        <v>541</v>
      </c>
      <c r="L8" s="19" t="s">
        <v>537</v>
      </c>
      <c r="M8" s="18" t="s">
        <v>542</v>
      </c>
      <c r="N8" s="18"/>
      <c r="O8" s="21"/>
      <c r="P8" s="24"/>
      <c r="Q8" s="24"/>
      <c r="R8" s="24"/>
      <c r="S8" s="21"/>
      <c r="T8" s="18"/>
    </row>
    <row r="9" spans="1:20" ht="15">
      <c r="A9" s="9" t="s">
        <v>370</v>
      </c>
      <c r="B9" s="3" t="s">
        <v>371</v>
      </c>
      <c r="C9" s="2" t="s">
        <v>543</v>
      </c>
      <c r="D9" s="13">
        <v>1.19</v>
      </c>
      <c r="E9" s="14"/>
      <c r="F9" s="13"/>
      <c r="G9" s="13"/>
      <c r="H9" s="15"/>
      <c r="I9" s="15"/>
      <c r="J9" s="2" t="s">
        <v>537</v>
      </c>
      <c r="K9" s="3" t="s">
        <v>544</v>
      </c>
      <c r="L9" s="2" t="s">
        <v>537</v>
      </c>
      <c r="M9" s="3" t="s">
        <v>545</v>
      </c>
      <c r="N9" s="3" t="s">
        <v>145</v>
      </c>
      <c r="O9" s="4">
        <v>0.03</v>
      </c>
      <c r="P9" s="5">
        <v>143490</v>
      </c>
      <c r="Q9" s="5">
        <v>191942.39999999999</v>
      </c>
      <c r="R9" s="5">
        <v>-48452.399999999987</v>
      </c>
      <c r="S9" s="4">
        <v>1.3376709178339949</v>
      </c>
      <c r="T9" s="3" t="s">
        <v>148</v>
      </c>
    </row>
    <row r="10" spans="1:20" ht="15">
      <c r="A10" s="17" t="s">
        <v>372</v>
      </c>
      <c r="B10" s="18" t="s">
        <v>373</v>
      </c>
      <c r="C10" s="19" t="s">
        <v>540</v>
      </c>
      <c r="D10" s="22">
        <v>2.2959999999999998</v>
      </c>
      <c r="E10" s="23"/>
      <c r="F10" s="22"/>
      <c r="G10" s="22"/>
      <c r="H10" s="25"/>
      <c r="I10" s="25"/>
      <c r="J10" s="19" t="s">
        <v>537</v>
      </c>
      <c r="K10" s="18" t="s">
        <v>541</v>
      </c>
      <c r="L10" s="19" t="s">
        <v>537</v>
      </c>
      <c r="M10" s="18" t="s">
        <v>542</v>
      </c>
      <c r="N10" s="18" t="s">
        <v>145</v>
      </c>
      <c r="O10" s="21">
        <v>0.03</v>
      </c>
      <c r="P10" s="24">
        <v>143490</v>
      </c>
      <c r="Q10" s="24">
        <v>191942.39999999999</v>
      </c>
      <c r="R10" s="24">
        <v>-48452.399999999987</v>
      </c>
      <c r="S10" s="21">
        <v>1.3376709178339949</v>
      </c>
      <c r="T10" s="18" t="s">
        <v>148</v>
      </c>
    </row>
    <row r="11" spans="1:20" ht="15">
      <c r="A11" s="9" t="s">
        <v>162</v>
      </c>
      <c r="B11" s="3" t="s">
        <v>161</v>
      </c>
      <c r="C11" s="2" t="s">
        <v>540</v>
      </c>
      <c r="D11" s="13">
        <v>1.115</v>
      </c>
      <c r="E11" s="14"/>
      <c r="F11" s="13"/>
      <c r="G11" s="13"/>
      <c r="H11" s="15"/>
      <c r="I11" s="15"/>
      <c r="J11" s="2" t="s">
        <v>537</v>
      </c>
      <c r="K11" s="3" t="s">
        <v>541</v>
      </c>
      <c r="L11" s="2" t="s">
        <v>537</v>
      </c>
      <c r="M11" s="3" t="s">
        <v>542</v>
      </c>
      <c r="N11" s="3" t="s">
        <v>161</v>
      </c>
      <c r="O11" s="4">
        <v>0.05</v>
      </c>
      <c r="P11" s="5">
        <v>239150</v>
      </c>
      <c r="Q11" s="5">
        <v>42370</v>
      </c>
      <c r="R11" s="5">
        <v>196780</v>
      </c>
      <c r="S11" s="4">
        <v>0.17716914070666939</v>
      </c>
      <c r="T11" s="3" t="s">
        <v>126</v>
      </c>
    </row>
    <row r="12" spans="1:20" ht="15">
      <c r="A12" s="17" t="s">
        <v>167</v>
      </c>
      <c r="B12" s="18" t="s">
        <v>165</v>
      </c>
      <c r="C12" s="19" t="s">
        <v>540</v>
      </c>
      <c r="D12" s="22">
        <v>12.833</v>
      </c>
      <c r="E12" s="23"/>
      <c r="F12" s="22"/>
      <c r="G12" s="22"/>
      <c r="H12" s="25"/>
      <c r="I12" s="25"/>
      <c r="J12" s="19" t="s">
        <v>537</v>
      </c>
      <c r="K12" s="18" t="s">
        <v>541</v>
      </c>
      <c r="L12" s="19" t="s">
        <v>537</v>
      </c>
      <c r="M12" s="18" t="s">
        <v>542</v>
      </c>
      <c r="N12" s="18" t="s">
        <v>165</v>
      </c>
      <c r="O12" s="21">
        <v>0.1</v>
      </c>
      <c r="P12" s="24">
        <v>478300</v>
      </c>
      <c r="Q12" s="24">
        <v>38499</v>
      </c>
      <c r="R12" s="24">
        <v>439801</v>
      </c>
      <c r="S12" s="21">
        <v>8.0491323437173329E-2</v>
      </c>
      <c r="T12" s="18" t="s">
        <v>126</v>
      </c>
    </row>
    <row r="13" spans="1:20" ht="30">
      <c r="A13" s="9" t="s">
        <v>402</v>
      </c>
      <c r="B13" s="3" t="s">
        <v>403</v>
      </c>
      <c r="C13" s="2" t="s">
        <v>546</v>
      </c>
      <c r="D13" s="13">
        <v>1.028</v>
      </c>
      <c r="E13" s="14"/>
      <c r="F13" s="13"/>
      <c r="G13" s="13"/>
      <c r="H13" s="15"/>
      <c r="I13" s="15"/>
      <c r="J13" s="2" t="s">
        <v>191</v>
      </c>
      <c r="K13" s="3" t="s">
        <v>547</v>
      </c>
      <c r="L13" s="2" t="s">
        <v>537</v>
      </c>
      <c r="M13" s="3" t="s">
        <v>193</v>
      </c>
      <c r="N13" s="3" t="s">
        <v>156</v>
      </c>
      <c r="O13" s="4">
        <v>0.08</v>
      </c>
      <c r="P13" s="5">
        <v>382640</v>
      </c>
      <c r="Q13" s="5">
        <v>109274.2</v>
      </c>
      <c r="R13" s="5">
        <v>273365.8</v>
      </c>
      <c r="S13" s="4">
        <v>0.28557965711896299</v>
      </c>
      <c r="T13" s="3" t="s">
        <v>126</v>
      </c>
    </row>
    <row r="14" spans="1:20" ht="15">
      <c r="A14" s="17" t="s">
        <v>137</v>
      </c>
      <c r="B14" s="18" t="s">
        <v>355</v>
      </c>
      <c r="C14" s="19" t="s">
        <v>540</v>
      </c>
      <c r="D14" s="22">
        <v>1.4450000000000001</v>
      </c>
      <c r="E14" s="23"/>
      <c r="F14" s="22"/>
      <c r="G14" s="22"/>
      <c r="H14" s="25"/>
      <c r="I14" s="25"/>
      <c r="J14" s="19" t="s">
        <v>537</v>
      </c>
      <c r="K14" s="18" t="s">
        <v>541</v>
      </c>
      <c r="L14" s="19" t="s">
        <v>537</v>
      </c>
      <c r="M14" s="18" t="s">
        <v>542</v>
      </c>
      <c r="N14" s="18" t="s">
        <v>136</v>
      </c>
      <c r="O14" s="21">
        <v>0.06</v>
      </c>
      <c r="P14" s="24">
        <v>286980</v>
      </c>
      <c r="Q14" s="24">
        <v>21675</v>
      </c>
      <c r="R14" s="24">
        <v>265305</v>
      </c>
      <c r="S14" s="21">
        <v>7.5527911352707505E-2</v>
      </c>
      <c r="T14" s="18" t="s">
        <v>126</v>
      </c>
    </row>
  </sheetData>
  <autoFilter ref="A1:T14" xr:uid="{00000000-0009-0000-0000-00000D000000}"/>
  <phoneticPr fontId="3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1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2" customWidth="1"/>
    <col min="2" max="2" width="18" customWidth="1"/>
    <col min="3" max="4" width="14" customWidth="1"/>
    <col min="5" max="5" width="11" customWidth="1"/>
    <col min="6" max="16" width="14" customWidth="1"/>
    <col min="17" max="17" width="26" customWidth="1"/>
    <col min="18" max="22" width="14" customWidth="1"/>
    <col min="23" max="23" width="18" customWidth="1"/>
  </cols>
  <sheetData>
    <row r="1" spans="1:23" ht="30">
      <c r="A1" s="1" t="s">
        <v>279</v>
      </c>
      <c r="B1" s="1" t="s">
        <v>334</v>
      </c>
      <c r="C1" s="1" t="s">
        <v>514</v>
      </c>
      <c r="D1" s="1" t="s">
        <v>515</v>
      </c>
      <c r="E1" s="1" t="s">
        <v>405</v>
      </c>
      <c r="F1" s="1" t="s">
        <v>516</v>
      </c>
      <c r="G1" s="1" t="s">
        <v>518</v>
      </c>
      <c r="H1" s="1" t="s">
        <v>519</v>
      </c>
      <c r="I1" s="1" t="s">
        <v>520</v>
      </c>
      <c r="J1" s="1" t="s">
        <v>521</v>
      </c>
      <c r="K1" s="1" t="s">
        <v>522</v>
      </c>
      <c r="L1" s="1" t="s">
        <v>523</v>
      </c>
      <c r="M1" s="1" t="s">
        <v>524</v>
      </c>
      <c r="N1" s="1" t="s">
        <v>404</v>
      </c>
      <c r="O1" s="1" t="s">
        <v>529</v>
      </c>
      <c r="P1" s="1" t="s">
        <v>531</v>
      </c>
      <c r="Q1" s="1" t="s">
        <v>186</v>
      </c>
      <c r="R1" s="1" t="s">
        <v>187</v>
      </c>
      <c r="S1" s="1" t="s">
        <v>342</v>
      </c>
      <c r="T1" s="1" t="s">
        <v>343</v>
      </c>
      <c r="U1" s="1" t="s">
        <v>111</v>
      </c>
      <c r="V1" s="1" t="s">
        <v>112</v>
      </c>
      <c r="W1" s="1" t="s">
        <v>344</v>
      </c>
    </row>
    <row r="2" spans="1:23" ht="15">
      <c r="A2" s="9" t="s">
        <v>133</v>
      </c>
      <c r="B2" s="3" t="s">
        <v>354</v>
      </c>
      <c r="C2" s="2">
        <v>119400</v>
      </c>
      <c r="D2" s="2">
        <v>119400</v>
      </c>
      <c r="E2" s="13">
        <v>1.1679999999999999</v>
      </c>
      <c r="F2" s="2">
        <v>1.05</v>
      </c>
      <c r="G2" s="2">
        <v>139459.20000000001</v>
      </c>
      <c r="H2" s="2">
        <v>14067.07</v>
      </c>
      <c r="I2" s="2">
        <v>0.11219999999999999</v>
      </c>
      <c r="J2" s="2">
        <v>2865.6</v>
      </c>
      <c r="K2" s="2">
        <v>2.1000000000000001E-2</v>
      </c>
      <c r="L2" s="2">
        <v>1.0629999999999999</v>
      </c>
      <c r="M2" s="2">
        <v>0.13350000000000001</v>
      </c>
      <c r="N2" s="2" t="s">
        <v>429</v>
      </c>
      <c r="O2" s="2">
        <v>0.14000000000000001</v>
      </c>
      <c r="P2" s="2" t="s">
        <v>400</v>
      </c>
      <c r="Q2" s="3" t="s">
        <v>131</v>
      </c>
      <c r="R2" s="4">
        <v>0.08</v>
      </c>
      <c r="S2" s="5">
        <v>382640</v>
      </c>
      <c r="T2" s="5">
        <v>139459.20000000001</v>
      </c>
      <c r="U2" s="5">
        <v>243180.79999999999</v>
      </c>
      <c r="V2" s="4">
        <v>0.36446581643320097</v>
      </c>
      <c r="W2" s="3" t="s">
        <v>126</v>
      </c>
    </row>
    <row r="3" spans="1:23" ht="15">
      <c r="A3" s="9" t="s">
        <v>364</v>
      </c>
      <c r="B3" s="3" t="s">
        <v>365</v>
      </c>
      <c r="C3" s="2">
        <v>1100</v>
      </c>
      <c r="D3" s="2">
        <v>1100</v>
      </c>
      <c r="E3" s="13">
        <v>88.64</v>
      </c>
      <c r="F3" s="2">
        <v>119.39700000000001</v>
      </c>
      <c r="G3" s="2">
        <v>97504</v>
      </c>
      <c r="H3" s="2">
        <v>-33833.18</v>
      </c>
      <c r="I3" s="2">
        <v>-0.2576</v>
      </c>
      <c r="J3" s="2">
        <v>1287</v>
      </c>
      <c r="K3" s="2">
        <v>1.34E-2</v>
      </c>
      <c r="L3" s="2">
        <v>118.517</v>
      </c>
      <c r="M3" s="2">
        <v>9.3299999999999994E-2</v>
      </c>
      <c r="N3" s="2" t="s">
        <v>448</v>
      </c>
      <c r="O3" s="2">
        <v>0.05</v>
      </c>
      <c r="P3" s="2" t="s">
        <v>400</v>
      </c>
      <c r="Q3" s="3" t="s">
        <v>145</v>
      </c>
      <c r="R3" s="4">
        <v>0.03</v>
      </c>
      <c r="S3" s="5">
        <v>143490</v>
      </c>
      <c r="T3" s="5">
        <v>191942.39999999999</v>
      </c>
      <c r="U3" s="5">
        <v>-48452.399999999987</v>
      </c>
      <c r="V3" s="4">
        <v>1.3376709178339949</v>
      </c>
      <c r="W3" s="3" t="s">
        <v>148</v>
      </c>
    </row>
    <row r="4" spans="1:23" ht="15">
      <c r="A4" s="9" t="s">
        <v>361</v>
      </c>
      <c r="B4" s="3" t="s">
        <v>156</v>
      </c>
      <c r="C4" s="2">
        <v>55400</v>
      </c>
      <c r="D4" s="2">
        <v>55400</v>
      </c>
      <c r="E4" s="13">
        <v>1.323</v>
      </c>
      <c r="F4" s="2">
        <v>1.29</v>
      </c>
      <c r="G4" s="2">
        <v>73294.2</v>
      </c>
      <c r="H4" s="2">
        <v>1847.05</v>
      </c>
      <c r="I4" s="2">
        <v>2.58E-2</v>
      </c>
      <c r="J4" s="2">
        <v>498.6</v>
      </c>
      <c r="K4" s="2">
        <v>6.7999999999999996E-3</v>
      </c>
      <c r="L4" s="2">
        <v>1.29</v>
      </c>
      <c r="M4" s="2">
        <v>7.0199999999999999E-2</v>
      </c>
      <c r="N4" s="2" t="s">
        <v>438</v>
      </c>
      <c r="O4" s="2">
        <v>0.06</v>
      </c>
      <c r="P4" s="2" t="s">
        <v>400</v>
      </c>
      <c r="Q4" s="3" t="s">
        <v>156</v>
      </c>
      <c r="R4" s="4">
        <v>0.08</v>
      </c>
      <c r="S4" s="5">
        <v>382640</v>
      </c>
      <c r="T4" s="5">
        <v>109274.2</v>
      </c>
      <c r="U4" s="5">
        <v>273365.8</v>
      </c>
      <c r="V4" s="4">
        <v>0.28557965711896299</v>
      </c>
      <c r="W4" s="3" t="s">
        <v>126</v>
      </c>
    </row>
    <row r="5" spans="1:23" ht="15">
      <c r="A5" s="9" t="s">
        <v>153</v>
      </c>
      <c r="B5" s="3" t="s">
        <v>151</v>
      </c>
      <c r="C5" s="2">
        <v>37000</v>
      </c>
      <c r="D5" s="2">
        <v>37000</v>
      </c>
      <c r="E5" s="13">
        <v>1.712</v>
      </c>
      <c r="F5" s="2">
        <v>1.804</v>
      </c>
      <c r="G5" s="2">
        <v>63344</v>
      </c>
      <c r="H5" s="2">
        <v>-3415.68</v>
      </c>
      <c r="I5" s="2">
        <v>-5.1200000000000002E-2</v>
      </c>
      <c r="J5" s="2">
        <v>1480</v>
      </c>
      <c r="K5" s="2">
        <v>2.3900000000000001E-2</v>
      </c>
      <c r="L5" s="2">
        <v>1.804</v>
      </c>
      <c r="M5" s="2">
        <v>6.0600000000000001E-2</v>
      </c>
      <c r="N5" s="2" t="s">
        <v>171</v>
      </c>
      <c r="O5" s="2">
        <v>0.03</v>
      </c>
      <c r="P5" s="2" t="s">
        <v>400</v>
      </c>
      <c r="Q5" s="3" t="s">
        <v>151</v>
      </c>
      <c r="R5" s="4">
        <v>0.03</v>
      </c>
      <c r="S5" s="5">
        <v>143490</v>
      </c>
      <c r="T5" s="5">
        <v>63344</v>
      </c>
      <c r="U5" s="5">
        <v>80146</v>
      </c>
      <c r="V5" s="4">
        <v>0.44145236601853788</v>
      </c>
      <c r="W5" s="3" t="s">
        <v>126</v>
      </c>
    </row>
    <row r="6" spans="1:23" ht="15">
      <c r="A6" s="9" t="s">
        <v>124</v>
      </c>
      <c r="B6" s="3" t="s">
        <v>350</v>
      </c>
      <c r="C6" s="2">
        <v>40000</v>
      </c>
      <c r="D6" s="2">
        <v>20000</v>
      </c>
      <c r="E6" s="13">
        <v>1.516</v>
      </c>
      <c r="F6" s="2">
        <v>1.44</v>
      </c>
      <c r="G6" s="2">
        <v>60640</v>
      </c>
      <c r="H6" s="2">
        <v>3034.24</v>
      </c>
      <c r="I6" s="2">
        <v>5.2699999999999997E-2</v>
      </c>
      <c r="J6" s="2">
        <v>496.98</v>
      </c>
      <c r="K6" s="2">
        <v>8.3000000000000001E-3</v>
      </c>
      <c r="L6" s="2">
        <v>1.44</v>
      </c>
      <c r="M6" s="2">
        <v>5.8000000000000003E-2</v>
      </c>
      <c r="N6" s="2" t="s">
        <v>429</v>
      </c>
      <c r="O6" s="2">
        <v>0.05</v>
      </c>
      <c r="P6" s="2" t="s">
        <v>400</v>
      </c>
      <c r="Q6" s="3" t="s">
        <v>122</v>
      </c>
      <c r="R6" s="4">
        <v>0.08</v>
      </c>
      <c r="S6" s="5">
        <v>382640</v>
      </c>
      <c r="T6" s="5">
        <v>60640</v>
      </c>
      <c r="U6" s="5">
        <v>322000</v>
      </c>
      <c r="V6" s="4">
        <v>0.15847794271377799</v>
      </c>
      <c r="W6" s="3" t="s">
        <v>126</v>
      </c>
    </row>
    <row r="7" spans="1:23" ht="15">
      <c r="A7" s="9" t="s">
        <v>362</v>
      </c>
      <c r="B7" s="3" t="s">
        <v>363</v>
      </c>
      <c r="C7" s="2">
        <v>400</v>
      </c>
      <c r="D7" s="2">
        <v>400</v>
      </c>
      <c r="E7" s="13">
        <v>141.38800000000001</v>
      </c>
      <c r="F7" s="2">
        <v>141.22399999999999</v>
      </c>
      <c r="G7" s="2">
        <v>56555.199999999997</v>
      </c>
      <c r="H7" s="2">
        <v>65.7</v>
      </c>
      <c r="I7" s="2">
        <v>1.1999999999999999E-3</v>
      </c>
      <c r="J7" s="2">
        <v>16</v>
      </c>
      <c r="K7" s="2">
        <v>2.9999999999999997E-4</v>
      </c>
      <c r="L7" s="2">
        <v>141.22399999999999</v>
      </c>
      <c r="M7" s="2">
        <v>5.4100000000000002E-2</v>
      </c>
      <c r="N7" s="2" t="s">
        <v>445</v>
      </c>
      <c r="O7" s="2">
        <v>0.04</v>
      </c>
      <c r="P7" s="2" t="s">
        <v>548</v>
      </c>
      <c r="Q7" s="3"/>
      <c r="R7" s="4"/>
      <c r="S7" s="5"/>
      <c r="T7" s="5"/>
      <c r="U7" s="5"/>
      <c r="V7" s="4"/>
      <c r="W7" s="3"/>
    </row>
    <row r="8" spans="1:23" ht="15">
      <c r="A8" s="9" t="s">
        <v>368</v>
      </c>
      <c r="B8" s="3" t="s">
        <v>369</v>
      </c>
      <c r="C8" s="2">
        <v>847</v>
      </c>
      <c r="D8" s="2">
        <v>847</v>
      </c>
      <c r="E8" s="13">
        <v>65.260000000000005</v>
      </c>
      <c r="F8" s="2">
        <v>126.04600000000001</v>
      </c>
      <c r="G8" s="2">
        <v>55275.22</v>
      </c>
      <c r="H8" s="2">
        <v>-51485.42</v>
      </c>
      <c r="I8" s="2">
        <v>-0.48230000000000001</v>
      </c>
      <c r="J8" s="2">
        <v>296.45</v>
      </c>
      <c r="K8" s="2">
        <v>5.4000000000000003E-3</v>
      </c>
      <c r="L8" s="2">
        <v>76.406999999999996</v>
      </c>
      <c r="M8" s="2">
        <v>5.2900000000000003E-2</v>
      </c>
      <c r="N8" s="2" t="s">
        <v>448</v>
      </c>
      <c r="O8" s="2">
        <v>0.02</v>
      </c>
      <c r="P8" s="2" t="s">
        <v>400</v>
      </c>
      <c r="Q8" s="3"/>
      <c r="R8" s="4"/>
      <c r="S8" s="5"/>
      <c r="T8" s="5"/>
      <c r="U8" s="5"/>
      <c r="V8" s="4"/>
      <c r="W8" s="3"/>
    </row>
    <row r="9" spans="1:23" ht="15">
      <c r="A9" s="9" t="s">
        <v>370</v>
      </c>
      <c r="B9" s="3" t="s">
        <v>371</v>
      </c>
      <c r="C9" s="2">
        <v>40000</v>
      </c>
      <c r="D9" s="2">
        <v>40000</v>
      </c>
      <c r="E9" s="13">
        <v>1.19</v>
      </c>
      <c r="F9" s="2">
        <v>1.26</v>
      </c>
      <c r="G9" s="2">
        <v>47600</v>
      </c>
      <c r="H9" s="2">
        <v>-2814.49</v>
      </c>
      <c r="I9" s="2">
        <v>-5.5899999999999998E-2</v>
      </c>
      <c r="J9" s="2">
        <v>-1560</v>
      </c>
      <c r="K9" s="2">
        <v>-3.1699999999999999E-2</v>
      </c>
      <c r="L9" s="2">
        <v>1.258</v>
      </c>
      <c r="M9" s="2">
        <v>4.5600000000000002E-2</v>
      </c>
      <c r="N9" s="2" t="s">
        <v>448</v>
      </c>
      <c r="O9" s="2">
        <v>0.03</v>
      </c>
      <c r="P9" s="2" t="s">
        <v>400</v>
      </c>
      <c r="Q9" s="3" t="s">
        <v>145</v>
      </c>
      <c r="R9" s="4">
        <v>0.03</v>
      </c>
      <c r="S9" s="5">
        <v>143490</v>
      </c>
      <c r="T9" s="5">
        <v>191942.39999999999</v>
      </c>
      <c r="U9" s="5">
        <v>-48452.399999999987</v>
      </c>
      <c r="V9" s="4">
        <v>1.3376709178339949</v>
      </c>
      <c r="W9" s="3" t="s">
        <v>148</v>
      </c>
    </row>
    <row r="10" spans="1:23" ht="15">
      <c r="A10" s="9" t="s">
        <v>372</v>
      </c>
      <c r="B10" s="3" t="s">
        <v>373</v>
      </c>
      <c r="C10" s="2">
        <v>20400</v>
      </c>
      <c r="D10" s="2">
        <v>20400</v>
      </c>
      <c r="E10" s="13">
        <v>2.2959999999999998</v>
      </c>
      <c r="F10" s="2">
        <v>2.3460000000000001</v>
      </c>
      <c r="G10" s="2">
        <v>46838.400000000001</v>
      </c>
      <c r="H10" s="2">
        <v>-1011.99</v>
      </c>
      <c r="I10" s="2">
        <v>-2.1100000000000001E-2</v>
      </c>
      <c r="J10" s="2">
        <v>0</v>
      </c>
      <c r="K10" s="2">
        <v>0</v>
      </c>
      <c r="L10" s="2">
        <v>2.3460000000000001</v>
      </c>
      <c r="M10" s="2">
        <v>4.48E-2</v>
      </c>
      <c r="N10" s="2" t="s">
        <v>448</v>
      </c>
      <c r="O10" s="2">
        <v>0.02</v>
      </c>
      <c r="P10" s="2" t="s">
        <v>400</v>
      </c>
      <c r="Q10" s="3" t="s">
        <v>145</v>
      </c>
      <c r="R10" s="4">
        <v>0.03</v>
      </c>
      <c r="S10" s="5">
        <v>143490</v>
      </c>
      <c r="T10" s="5">
        <v>191942.39999999999</v>
      </c>
      <c r="U10" s="5">
        <v>-48452.399999999987</v>
      </c>
      <c r="V10" s="4">
        <v>1.3376709178339949</v>
      </c>
      <c r="W10" s="3" t="s">
        <v>148</v>
      </c>
    </row>
    <row r="11" spans="1:23" ht="15">
      <c r="A11" s="9" t="s">
        <v>162</v>
      </c>
      <c r="B11" s="3" t="s">
        <v>161</v>
      </c>
      <c r="C11" s="2">
        <v>38000</v>
      </c>
      <c r="D11" s="2">
        <v>38000</v>
      </c>
      <c r="E11" s="13">
        <v>1.115</v>
      </c>
      <c r="F11" s="2">
        <v>1.1599999999999999</v>
      </c>
      <c r="G11" s="2">
        <v>42370</v>
      </c>
      <c r="H11" s="2">
        <v>-1704.41</v>
      </c>
      <c r="I11" s="2">
        <v>-3.8699999999999998E-2</v>
      </c>
      <c r="J11" s="2">
        <v>-950</v>
      </c>
      <c r="K11" s="2">
        <v>-2.1899999999999999E-2</v>
      </c>
      <c r="L11" s="2">
        <v>1.1599999999999999</v>
      </c>
      <c r="M11" s="2">
        <v>4.0599999999999997E-2</v>
      </c>
      <c r="N11" s="2" t="s">
        <v>438</v>
      </c>
      <c r="O11" s="2">
        <v>0.05</v>
      </c>
      <c r="P11" s="2" t="s">
        <v>400</v>
      </c>
      <c r="Q11" s="3" t="s">
        <v>161</v>
      </c>
      <c r="R11" s="4">
        <v>0.05</v>
      </c>
      <c r="S11" s="5">
        <v>239150</v>
      </c>
      <c r="T11" s="5">
        <v>42370</v>
      </c>
      <c r="U11" s="5">
        <v>196780</v>
      </c>
      <c r="V11" s="4">
        <v>0.17716914070666939</v>
      </c>
      <c r="W11" s="3" t="s">
        <v>126</v>
      </c>
    </row>
    <row r="12" spans="1:23" ht="15">
      <c r="A12" s="9" t="s">
        <v>167</v>
      </c>
      <c r="B12" s="3" t="s">
        <v>165</v>
      </c>
      <c r="C12" s="2">
        <v>3000</v>
      </c>
      <c r="D12" s="2">
        <v>3000</v>
      </c>
      <c r="E12" s="13">
        <v>12.833</v>
      </c>
      <c r="F12" s="2">
        <v>12.824999999999999</v>
      </c>
      <c r="G12" s="2">
        <v>38499</v>
      </c>
      <c r="H12" s="2">
        <v>24</v>
      </c>
      <c r="I12" s="2">
        <v>5.9999999999999995E-4</v>
      </c>
      <c r="J12" s="2">
        <v>-189</v>
      </c>
      <c r="K12" s="2">
        <v>-4.8999999999999998E-3</v>
      </c>
      <c r="L12" s="2">
        <v>12.824999999999999</v>
      </c>
      <c r="M12" s="2">
        <v>3.6900000000000002E-2</v>
      </c>
      <c r="N12" s="2" t="s">
        <v>442</v>
      </c>
      <c r="O12" s="2">
        <v>0.04</v>
      </c>
      <c r="P12" s="2" t="s">
        <v>400</v>
      </c>
      <c r="Q12" s="3" t="s">
        <v>165</v>
      </c>
      <c r="R12" s="4">
        <v>0.1</v>
      </c>
      <c r="S12" s="5">
        <v>478300</v>
      </c>
      <c r="T12" s="5">
        <v>38499</v>
      </c>
      <c r="U12" s="5">
        <v>439801</v>
      </c>
      <c r="V12" s="4">
        <v>8.0491323437173329E-2</v>
      </c>
      <c r="W12" s="3" t="s">
        <v>126</v>
      </c>
    </row>
    <row r="13" spans="1:23" ht="15">
      <c r="A13" s="9" t="s">
        <v>402</v>
      </c>
      <c r="B13" s="3" t="s">
        <v>403</v>
      </c>
      <c r="C13" s="2">
        <v>35000</v>
      </c>
      <c r="D13" s="2">
        <v>35000</v>
      </c>
      <c r="E13" s="13">
        <v>1.028</v>
      </c>
      <c r="F13" s="2">
        <v>0.90300000000000002</v>
      </c>
      <c r="G13" s="2">
        <v>35980</v>
      </c>
      <c r="H13" s="2">
        <v>4374.49</v>
      </c>
      <c r="I13" s="2">
        <v>0.1384</v>
      </c>
      <c r="J13" s="2">
        <v>-175</v>
      </c>
      <c r="K13" s="2">
        <v>-4.7999999999999996E-3</v>
      </c>
      <c r="L13" s="2">
        <v>0.98299999999999998</v>
      </c>
      <c r="M13" s="2">
        <v>3.44E-2</v>
      </c>
      <c r="N13" s="2" t="s">
        <v>448</v>
      </c>
      <c r="O13" s="2">
        <v>0.04</v>
      </c>
      <c r="P13" s="2" t="s">
        <v>400</v>
      </c>
      <c r="Q13" s="3" t="s">
        <v>156</v>
      </c>
      <c r="R13" s="4">
        <v>0.08</v>
      </c>
      <c r="S13" s="5">
        <v>382640</v>
      </c>
      <c r="T13" s="5">
        <v>109274.2</v>
      </c>
      <c r="U13" s="5">
        <v>273365.8</v>
      </c>
      <c r="V13" s="4">
        <v>0.28557965711896299</v>
      </c>
      <c r="W13" s="3" t="s">
        <v>126</v>
      </c>
    </row>
    <row r="14" spans="1:23" ht="15">
      <c r="A14" s="9" t="s">
        <v>137</v>
      </c>
      <c r="B14" s="3" t="s">
        <v>355</v>
      </c>
      <c r="C14" s="2">
        <v>15000</v>
      </c>
      <c r="D14" s="2">
        <v>15000</v>
      </c>
      <c r="E14" s="13">
        <v>1.4450000000000001</v>
      </c>
      <c r="F14" s="2">
        <v>1.387</v>
      </c>
      <c r="G14" s="2">
        <v>21675</v>
      </c>
      <c r="H14" s="2">
        <v>872.92</v>
      </c>
      <c r="I14" s="2">
        <v>4.2000000000000003E-2</v>
      </c>
      <c r="J14" s="2">
        <v>570</v>
      </c>
      <c r="K14" s="2">
        <v>2.7E-2</v>
      </c>
      <c r="L14" s="2">
        <v>1.387</v>
      </c>
      <c r="M14" s="2">
        <v>2.07E-2</v>
      </c>
      <c r="N14" s="2" t="s">
        <v>422</v>
      </c>
      <c r="O14" s="2">
        <v>0.02</v>
      </c>
      <c r="P14" s="2" t="s">
        <v>400</v>
      </c>
      <c r="Q14" s="3" t="s">
        <v>136</v>
      </c>
      <c r="R14" s="4">
        <v>0.06</v>
      </c>
      <c r="S14" s="5">
        <v>286980</v>
      </c>
      <c r="T14" s="5">
        <v>21675</v>
      </c>
      <c r="U14" s="5">
        <v>265305</v>
      </c>
      <c r="V14" s="4">
        <v>7.5527911352707505E-2</v>
      </c>
      <c r="W14" s="3" t="s">
        <v>126</v>
      </c>
    </row>
  </sheetData>
  <autoFilter ref="A1:W14" xr:uid="{00000000-0009-0000-0000-00000E000000}"/>
  <phoneticPr fontId="3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2" customWidth="1"/>
    <col min="2" max="2" width="18" customWidth="1"/>
    <col min="3" max="21" width="14" customWidth="1"/>
    <col min="22" max="22" width="26" customWidth="1"/>
    <col min="23" max="27" width="14" customWidth="1"/>
    <col min="28" max="28" width="18" customWidth="1"/>
  </cols>
  <sheetData>
    <row r="1" spans="1:28" ht="30">
      <c r="A1" s="1" t="s">
        <v>279</v>
      </c>
      <c r="B1" s="1" t="s">
        <v>334</v>
      </c>
      <c r="C1" s="1" t="s">
        <v>404</v>
      </c>
      <c r="D1" s="1" t="s">
        <v>549</v>
      </c>
      <c r="E1" s="1" t="s">
        <v>529</v>
      </c>
      <c r="F1" s="1" t="s">
        <v>550</v>
      </c>
      <c r="G1" s="1" t="s">
        <v>551</v>
      </c>
      <c r="H1" s="1" t="s">
        <v>552</v>
      </c>
      <c r="I1" s="1" t="s">
        <v>553</v>
      </c>
      <c r="J1" s="1" t="s">
        <v>554</v>
      </c>
      <c r="K1" s="1" t="s">
        <v>555</v>
      </c>
      <c r="L1" s="1" t="s">
        <v>421</v>
      </c>
      <c r="M1" s="1" t="s">
        <v>556</v>
      </c>
      <c r="N1" s="1" t="s">
        <v>557</v>
      </c>
      <c r="O1" s="1" t="s">
        <v>558</v>
      </c>
      <c r="P1" s="1" t="s">
        <v>559</v>
      </c>
      <c r="Q1" s="1" t="s">
        <v>560</v>
      </c>
      <c r="R1" s="1" t="s">
        <v>561</v>
      </c>
      <c r="S1" s="1" t="s">
        <v>562</v>
      </c>
      <c r="T1" s="1" t="s">
        <v>563</v>
      </c>
      <c r="U1" s="1" t="s">
        <v>564</v>
      </c>
      <c r="V1" s="1" t="s">
        <v>186</v>
      </c>
      <c r="W1" s="1" t="s">
        <v>187</v>
      </c>
      <c r="X1" s="1" t="s">
        <v>342</v>
      </c>
      <c r="Y1" s="1" t="s">
        <v>343</v>
      </c>
      <c r="Z1" s="1" t="s">
        <v>111</v>
      </c>
      <c r="AA1" s="1" t="s">
        <v>112</v>
      </c>
      <c r="AB1" s="1" t="s">
        <v>344</v>
      </c>
    </row>
    <row r="2" spans="1:28" ht="15">
      <c r="A2" s="9" t="s">
        <v>287</v>
      </c>
      <c r="B2" s="3" t="s">
        <v>288</v>
      </c>
      <c r="C2" s="2" t="s">
        <v>422</v>
      </c>
      <c r="D2" s="2" t="s">
        <v>565</v>
      </c>
      <c r="E2" s="2"/>
      <c r="F2" s="2"/>
      <c r="G2" s="2"/>
      <c r="H2" s="2"/>
      <c r="I2" s="2"/>
      <c r="J2" s="2"/>
      <c r="K2" s="2"/>
      <c r="L2" s="2" t="s">
        <v>286</v>
      </c>
      <c r="M2" s="2" t="s">
        <v>566</v>
      </c>
      <c r="N2" s="2"/>
      <c r="O2" s="2"/>
      <c r="P2" s="2"/>
      <c r="Q2" s="2"/>
      <c r="R2" s="2"/>
      <c r="S2" s="2"/>
      <c r="T2" s="2"/>
      <c r="U2" s="2"/>
      <c r="V2" s="3"/>
      <c r="W2" s="4"/>
      <c r="X2" s="5"/>
      <c r="Y2" s="5"/>
      <c r="Z2" s="5"/>
      <c r="AA2" s="4"/>
      <c r="AB2" s="3"/>
    </row>
    <row r="3" spans="1:28" ht="15">
      <c r="A3" s="9" t="s">
        <v>291</v>
      </c>
      <c r="B3" s="3" t="s">
        <v>292</v>
      </c>
      <c r="C3" s="2" t="s">
        <v>422</v>
      </c>
      <c r="D3" s="2" t="s">
        <v>565</v>
      </c>
      <c r="E3" s="2"/>
      <c r="F3" s="2"/>
      <c r="G3" s="2"/>
      <c r="H3" s="2"/>
      <c r="I3" s="2"/>
      <c r="J3" s="2"/>
      <c r="K3" s="2"/>
      <c r="L3" s="2" t="s">
        <v>286</v>
      </c>
      <c r="M3" s="2" t="s">
        <v>566</v>
      </c>
      <c r="N3" s="2"/>
      <c r="O3" s="2"/>
      <c r="P3" s="2"/>
      <c r="Q3" s="2"/>
      <c r="R3" s="2"/>
      <c r="S3" s="2"/>
      <c r="T3" s="2"/>
      <c r="U3" s="2"/>
      <c r="V3" s="3"/>
      <c r="W3" s="4"/>
      <c r="X3" s="5"/>
      <c r="Y3" s="5"/>
      <c r="Z3" s="5"/>
      <c r="AA3" s="4"/>
      <c r="AB3" s="3"/>
    </row>
    <row r="4" spans="1:28" ht="15">
      <c r="A4" s="9" t="s">
        <v>293</v>
      </c>
      <c r="B4" s="3" t="s">
        <v>294</v>
      </c>
      <c r="C4" s="2" t="s">
        <v>422</v>
      </c>
      <c r="D4" s="2" t="s">
        <v>565</v>
      </c>
      <c r="E4" s="2"/>
      <c r="F4" s="2"/>
      <c r="G4" s="2"/>
      <c r="H4" s="2"/>
      <c r="I4" s="2"/>
      <c r="J4" s="2"/>
      <c r="K4" s="2"/>
      <c r="L4" s="2" t="s">
        <v>286</v>
      </c>
      <c r="M4" s="2" t="s">
        <v>566</v>
      </c>
      <c r="N4" s="2"/>
      <c r="O4" s="2"/>
      <c r="P4" s="2"/>
      <c r="Q4" s="2"/>
      <c r="R4" s="2"/>
      <c r="S4" s="2"/>
      <c r="T4" s="2"/>
      <c r="U4" s="2"/>
      <c r="V4" s="3"/>
      <c r="W4" s="4"/>
      <c r="X4" s="5"/>
      <c r="Y4" s="5"/>
      <c r="Z4" s="5"/>
      <c r="AA4" s="4"/>
      <c r="AB4" s="3"/>
    </row>
    <row r="5" spans="1:28" ht="15">
      <c r="A5" s="9" t="s">
        <v>296</v>
      </c>
      <c r="B5" s="3" t="s">
        <v>297</v>
      </c>
      <c r="C5" s="2" t="s">
        <v>422</v>
      </c>
      <c r="D5" s="2" t="s">
        <v>567</v>
      </c>
      <c r="E5" s="2"/>
      <c r="F5" s="2"/>
      <c r="G5" s="2"/>
      <c r="H5" s="2"/>
      <c r="I5" s="2"/>
      <c r="J5" s="2"/>
      <c r="K5" s="2"/>
      <c r="L5" s="2" t="s">
        <v>295</v>
      </c>
      <c r="M5" s="2" t="s">
        <v>566</v>
      </c>
      <c r="N5" s="2"/>
      <c r="O5" s="2"/>
      <c r="P5" s="2"/>
      <c r="Q5" s="2"/>
      <c r="R5" s="2"/>
      <c r="S5" s="2"/>
      <c r="T5" s="2"/>
      <c r="U5" s="2"/>
      <c r="V5" s="3"/>
      <c r="W5" s="4"/>
      <c r="X5" s="5"/>
      <c r="Y5" s="5"/>
      <c r="Z5" s="5"/>
      <c r="AA5" s="4"/>
      <c r="AB5" s="3"/>
    </row>
    <row r="6" spans="1:28" ht="15">
      <c r="A6" s="9" t="s">
        <v>298</v>
      </c>
      <c r="B6" s="3" t="s">
        <v>299</v>
      </c>
      <c r="C6" s="2" t="s">
        <v>422</v>
      </c>
      <c r="D6" s="2" t="s">
        <v>568</v>
      </c>
      <c r="E6" s="2"/>
      <c r="F6" s="2"/>
      <c r="G6" s="2"/>
      <c r="H6" s="2"/>
      <c r="I6" s="2"/>
      <c r="J6" s="2"/>
      <c r="K6" s="2"/>
      <c r="L6" s="2" t="s">
        <v>295</v>
      </c>
      <c r="M6" s="2" t="s">
        <v>566</v>
      </c>
      <c r="N6" s="2"/>
      <c r="O6" s="2"/>
      <c r="P6" s="2"/>
      <c r="Q6" s="2"/>
      <c r="R6" s="2"/>
      <c r="S6" s="2"/>
      <c r="T6" s="2"/>
      <c r="U6" s="2"/>
      <c r="V6" s="3"/>
      <c r="W6" s="4"/>
      <c r="X6" s="5"/>
      <c r="Y6" s="5"/>
      <c r="Z6" s="5"/>
      <c r="AA6" s="4"/>
      <c r="AB6" s="3"/>
    </row>
    <row r="7" spans="1:28" ht="15">
      <c r="A7" s="9" t="s">
        <v>124</v>
      </c>
      <c r="B7" s="3" t="s">
        <v>350</v>
      </c>
      <c r="C7" s="2" t="s">
        <v>429</v>
      </c>
      <c r="D7" s="2" t="s">
        <v>567</v>
      </c>
      <c r="E7" s="2">
        <v>0.05</v>
      </c>
      <c r="F7" s="2">
        <v>5.8000000000000003E-2</v>
      </c>
      <c r="G7" s="2"/>
      <c r="H7" s="2"/>
      <c r="I7" s="2"/>
      <c r="J7" s="2"/>
      <c r="K7" s="2"/>
      <c r="L7" s="2" t="s">
        <v>569</v>
      </c>
      <c r="M7" s="2" t="s">
        <v>570</v>
      </c>
      <c r="N7" s="2"/>
      <c r="O7" s="2"/>
      <c r="P7" s="2"/>
      <c r="Q7" s="2"/>
      <c r="R7" s="2"/>
      <c r="S7" s="2"/>
      <c r="T7" s="2"/>
      <c r="U7" s="2"/>
      <c r="V7" s="3" t="s">
        <v>122</v>
      </c>
      <c r="W7" s="4">
        <v>0.08</v>
      </c>
      <c r="X7" s="5">
        <v>382640</v>
      </c>
      <c r="Y7" s="5">
        <v>60640</v>
      </c>
      <c r="Z7" s="5">
        <v>322000</v>
      </c>
      <c r="AA7" s="4">
        <v>0.15847794271377799</v>
      </c>
      <c r="AB7" s="3" t="s">
        <v>126</v>
      </c>
    </row>
    <row r="8" spans="1:28" ht="15">
      <c r="A8" s="9" t="s">
        <v>133</v>
      </c>
      <c r="B8" s="3" t="s">
        <v>354</v>
      </c>
      <c r="C8" s="2" t="s">
        <v>429</v>
      </c>
      <c r="D8" s="2" t="s">
        <v>571</v>
      </c>
      <c r="E8" s="2">
        <v>0.14000000000000001</v>
      </c>
      <c r="F8" s="2">
        <v>0.13350000000000001</v>
      </c>
      <c r="G8" s="2"/>
      <c r="H8" s="2"/>
      <c r="I8" s="2"/>
      <c r="J8" s="2"/>
      <c r="K8" s="2"/>
      <c r="L8" s="2" t="s">
        <v>538</v>
      </c>
      <c r="M8" s="2" t="s">
        <v>570</v>
      </c>
      <c r="N8" s="2"/>
      <c r="O8" s="2"/>
      <c r="P8" s="2"/>
      <c r="Q8" s="2"/>
      <c r="R8" s="2"/>
      <c r="S8" s="2"/>
      <c r="T8" s="2"/>
      <c r="U8" s="2"/>
      <c r="V8" s="3" t="s">
        <v>131</v>
      </c>
      <c r="W8" s="4">
        <v>0.08</v>
      </c>
      <c r="X8" s="5">
        <v>382640</v>
      </c>
      <c r="Y8" s="5">
        <v>139459.20000000001</v>
      </c>
      <c r="Z8" s="5">
        <v>243180.79999999999</v>
      </c>
      <c r="AA8" s="4">
        <v>0.36446581643320097</v>
      </c>
      <c r="AB8" s="3" t="s">
        <v>126</v>
      </c>
    </row>
    <row r="9" spans="1:28" ht="15">
      <c r="A9" s="9" t="s">
        <v>137</v>
      </c>
      <c r="B9" s="3" t="s">
        <v>355</v>
      </c>
      <c r="C9" s="2" t="s">
        <v>422</v>
      </c>
      <c r="D9" s="2" t="s">
        <v>568</v>
      </c>
      <c r="E9" s="2">
        <v>0.02</v>
      </c>
      <c r="F9" s="2">
        <v>2.07E-2</v>
      </c>
      <c r="G9" s="2"/>
      <c r="H9" s="2"/>
      <c r="I9" s="2"/>
      <c r="J9" s="2"/>
      <c r="K9" s="2"/>
      <c r="L9" s="2" t="s">
        <v>572</v>
      </c>
      <c r="M9" s="2" t="s">
        <v>570</v>
      </c>
      <c r="N9" s="2"/>
      <c r="O9" s="2"/>
      <c r="P9" s="2"/>
      <c r="Q9" s="2"/>
      <c r="R9" s="2"/>
      <c r="S9" s="2"/>
      <c r="T9" s="2"/>
      <c r="U9" s="2"/>
      <c r="V9" s="3" t="s">
        <v>136</v>
      </c>
      <c r="W9" s="4">
        <v>0.06</v>
      </c>
      <c r="X9" s="5">
        <v>286980</v>
      </c>
      <c r="Y9" s="5">
        <v>21675</v>
      </c>
      <c r="Z9" s="5">
        <v>265305</v>
      </c>
      <c r="AA9" s="4">
        <v>7.5527911352707505E-2</v>
      </c>
      <c r="AB9" s="3" t="s">
        <v>126</v>
      </c>
    </row>
    <row r="10" spans="1:28" ht="15">
      <c r="A10" s="9" t="s">
        <v>357</v>
      </c>
      <c r="B10" s="3" t="s">
        <v>358</v>
      </c>
      <c r="C10" s="2" t="s">
        <v>422</v>
      </c>
      <c r="D10" s="2" t="s">
        <v>568</v>
      </c>
      <c r="E10" s="2">
        <v>5.0000000000000001E-3</v>
      </c>
      <c r="F10" s="2">
        <v>0</v>
      </c>
      <c r="G10" s="2"/>
      <c r="H10" s="2"/>
      <c r="I10" s="2"/>
      <c r="J10" s="2"/>
      <c r="K10" s="2"/>
      <c r="L10" s="2" t="s">
        <v>573</v>
      </c>
      <c r="M10" s="2" t="s">
        <v>570</v>
      </c>
      <c r="N10" s="2"/>
      <c r="O10" s="2"/>
      <c r="P10" s="2"/>
      <c r="Q10" s="2"/>
      <c r="R10" s="2"/>
      <c r="S10" s="2"/>
      <c r="T10" s="2"/>
      <c r="U10" s="2"/>
      <c r="V10" s="3"/>
      <c r="W10" s="4"/>
      <c r="X10" s="5"/>
      <c r="Y10" s="5"/>
      <c r="Z10" s="5"/>
      <c r="AA10" s="4"/>
      <c r="AB10" s="3"/>
    </row>
    <row r="11" spans="1:28" ht="15">
      <c r="A11" s="9" t="s">
        <v>153</v>
      </c>
      <c r="B11" s="3" t="s">
        <v>151</v>
      </c>
      <c r="C11" s="2" t="s">
        <v>171</v>
      </c>
      <c r="D11" s="2" t="s">
        <v>568</v>
      </c>
      <c r="E11" s="2">
        <v>0.03</v>
      </c>
      <c r="F11" s="2">
        <v>6.0600000000000001E-2</v>
      </c>
      <c r="G11" s="2"/>
      <c r="H11" s="2"/>
      <c r="I11" s="2"/>
      <c r="J11" s="2"/>
      <c r="K11" s="2"/>
      <c r="L11" s="2" t="s">
        <v>574</v>
      </c>
      <c r="M11" s="2" t="s">
        <v>570</v>
      </c>
      <c r="N11" s="2"/>
      <c r="O11" s="2"/>
      <c r="P11" s="2"/>
      <c r="Q11" s="2"/>
      <c r="R11" s="2"/>
      <c r="S11" s="2"/>
      <c r="T11" s="2"/>
      <c r="U11" s="2"/>
      <c r="V11" s="3" t="s">
        <v>151</v>
      </c>
      <c r="W11" s="4">
        <v>0.03</v>
      </c>
      <c r="X11" s="5">
        <v>143490</v>
      </c>
      <c r="Y11" s="5">
        <v>63344</v>
      </c>
      <c r="Z11" s="5">
        <v>80146</v>
      </c>
      <c r="AA11" s="4">
        <v>0.44145236601853788</v>
      </c>
      <c r="AB11" s="3" t="s">
        <v>126</v>
      </c>
    </row>
    <row r="12" spans="1:28" ht="15">
      <c r="A12" s="9" t="s">
        <v>141</v>
      </c>
      <c r="B12" s="3" t="s">
        <v>360</v>
      </c>
      <c r="C12" s="2" t="s">
        <v>422</v>
      </c>
      <c r="D12" s="2" t="s">
        <v>575</v>
      </c>
      <c r="E12" s="2">
        <v>0.03</v>
      </c>
      <c r="F12" s="2"/>
      <c r="G12" s="2"/>
      <c r="H12" s="2"/>
      <c r="I12" s="2"/>
      <c r="J12" s="2"/>
      <c r="K12" s="2"/>
      <c r="L12" s="2" t="s">
        <v>576</v>
      </c>
      <c r="M12" s="2" t="s">
        <v>570</v>
      </c>
      <c r="N12" s="2"/>
      <c r="O12" s="2"/>
      <c r="P12" s="2"/>
      <c r="Q12" s="2"/>
      <c r="R12" s="2"/>
      <c r="S12" s="2"/>
      <c r="T12" s="2"/>
      <c r="U12" s="2"/>
      <c r="V12" s="3" t="s">
        <v>139</v>
      </c>
      <c r="W12" s="4">
        <v>0.02</v>
      </c>
      <c r="X12" s="5">
        <v>95660</v>
      </c>
      <c r="Y12" s="5">
        <v>0</v>
      </c>
      <c r="Z12" s="5">
        <v>95660</v>
      </c>
      <c r="AA12" s="4">
        <v>0</v>
      </c>
      <c r="AB12" s="3" t="s">
        <v>126</v>
      </c>
    </row>
    <row r="13" spans="1:28" ht="15">
      <c r="A13" s="9" t="s">
        <v>361</v>
      </c>
      <c r="B13" s="3" t="s">
        <v>156</v>
      </c>
      <c r="C13" s="2" t="s">
        <v>438</v>
      </c>
      <c r="D13" s="2" t="s">
        <v>565</v>
      </c>
      <c r="E13" s="2">
        <v>0.06</v>
      </c>
      <c r="F13" s="2">
        <v>7.0199999999999999E-2</v>
      </c>
      <c r="G13" s="2"/>
      <c r="H13" s="2"/>
      <c r="I13" s="2"/>
      <c r="J13" s="2"/>
      <c r="K13" s="2"/>
      <c r="L13" s="2" t="s">
        <v>157</v>
      </c>
      <c r="M13" s="2" t="s">
        <v>570</v>
      </c>
      <c r="N13" s="2"/>
      <c r="O13" s="2"/>
      <c r="P13" s="2"/>
      <c r="Q13" s="2"/>
      <c r="R13" s="2"/>
      <c r="S13" s="2"/>
      <c r="T13" s="2"/>
      <c r="U13" s="2"/>
      <c r="V13" s="3" t="s">
        <v>156</v>
      </c>
      <c r="W13" s="4">
        <v>0.08</v>
      </c>
      <c r="X13" s="5">
        <v>382640</v>
      </c>
      <c r="Y13" s="5">
        <v>109274.2</v>
      </c>
      <c r="Z13" s="5">
        <v>273365.8</v>
      </c>
      <c r="AA13" s="4">
        <v>0.28557965711896299</v>
      </c>
      <c r="AB13" s="3" t="s">
        <v>126</v>
      </c>
    </row>
    <row r="14" spans="1:28" ht="15">
      <c r="A14" s="9" t="s">
        <v>162</v>
      </c>
      <c r="B14" s="3" t="s">
        <v>161</v>
      </c>
      <c r="C14" s="2" t="s">
        <v>438</v>
      </c>
      <c r="D14" s="2" t="s">
        <v>577</v>
      </c>
      <c r="E14" s="2">
        <v>0.05</v>
      </c>
      <c r="F14" s="2">
        <v>4.0599999999999997E-2</v>
      </c>
      <c r="G14" s="2"/>
      <c r="H14" s="2"/>
      <c r="I14" s="2"/>
      <c r="J14" s="2"/>
      <c r="K14" s="2"/>
      <c r="L14" s="2" t="s">
        <v>157</v>
      </c>
      <c r="M14" s="2" t="s">
        <v>570</v>
      </c>
      <c r="N14" s="2"/>
      <c r="O14" s="2"/>
      <c r="P14" s="2"/>
      <c r="Q14" s="2"/>
      <c r="R14" s="2"/>
      <c r="S14" s="2"/>
      <c r="T14" s="2"/>
      <c r="U14" s="2"/>
      <c r="V14" s="3" t="s">
        <v>161</v>
      </c>
      <c r="W14" s="4">
        <v>0.05</v>
      </c>
      <c r="X14" s="5">
        <v>239150</v>
      </c>
      <c r="Y14" s="5">
        <v>42370</v>
      </c>
      <c r="Z14" s="5">
        <v>196780</v>
      </c>
      <c r="AA14" s="4">
        <v>0.17716914070666939</v>
      </c>
      <c r="AB14" s="3" t="s">
        <v>126</v>
      </c>
    </row>
    <row r="15" spans="1:28" ht="15">
      <c r="A15" s="9" t="s">
        <v>167</v>
      </c>
      <c r="B15" s="3" t="s">
        <v>165</v>
      </c>
      <c r="C15" s="2" t="s">
        <v>442</v>
      </c>
      <c r="D15" s="2" t="s">
        <v>577</v>
      </c>
      <c r="E15" s="2">
        <v>0.04</v>
      </c>
      <c r="F15" s="2">
        <v>3.6900000000000002E-2</v>
      </c>
      <c r="G15" s="2"/>
      <c r="H15" s="2"/>
      <c r="I15" s="2"/>
      <c r="J15" s="2"/>
      <c r="K15" s="2"/>
      <c r="L15" s="2" t="s">
        <v>166</v>
      </c>
      <c r="M15" s="2" t="s">
        <v>570</v>
      </c>
      <c r="N15" s="2"/>
      <c r="O15" s="2"/>
      <c r="P15" s="2"/>
      <c r="Q15" s="2"/>
      <c r="R15" s="2"/>
      <c r="S15" s="2"/>
      <c r="T15" s="2"/>
      <c r="U15" s="2"/>
      <c r="V15" s="3" t="s">
        <v>165</v>
      </c>
      <c r="W15" s="4">
        <v>0.1</v>
      </c>
      <c r="X15" s="5">
        <v>478300</v>
      </c>
      <c r="Y15" s="5">
        <v>38499</v>
      </c>
      <c r="Z15" s="5">
        <v>439801</v>
      </c>
      <c r="AA15" s="4">
        <v>8.0491323437173329E-2</v>
      </c>
      <c r="AB15" s="3" t="s">
        <v>126</v>
      </c>
    </row>
    <row r="16" spans="1:28" ht="15">
      <c r="A16" s="9" t="s">
        <v>362</v>
      </c>
      <c r="B16" s="3" t="s">
        <v>363</v>
      </c>
      <c r="C16" s="2" t="s">
        <v>445</v>
      </c>
      <c r="D16" s="2" t="s">
        <v>577</v>
      </c>
      <c r="E16" s="2">
        <v>0.04</v>
      </c>
      <c r="F16" s="2">
        <v>5.4100000000000002E-2</v>
      </c>
      <c r="G16" s="2"/>
      <c r="H16" s="2"/>
      <c r="I16" s="2"/>
      <c r="J16" s="2"/>
      <c r="K16" s="2"/>
      <c r="L16" s="2" t="s">
        <v>578</v>
      </c>
      <c r="M16" s="2" t="s">
        <v>570</v>
      </c>
      <c r="N16" s="2"/>
      <c r="O16" s="2"/>
      <c r="P16" s="2"/>
      <c r="Q16" s="2"/>
      <c r="R16" s="2"/>
      <c r="S16" s="2"/>
      <c r="T16" s="2"/>
      <c r="U16" s="2"/>
      <c r="V16" s="3"/>
      <c r="W16" s="4"/>
      <c r="X16" s="5"/>
      <c r="Y16" s="5"/>
      <c r="Z16" s="5"/>
      <c r="AA16" s="4"/>
      <c r="AB16" s="3"/>
    </row>
    <row r="17" spans="1:28" ht="15">
      <c r="A17" s="9" t="s">
        <v>364</v>
      </c>
      <c r="B17" s="3" t="s">
        <v>365</v>
      </c>
      <c r="C17" s="2" t="s">
        <v>448</v>
      </c>
      <c r="D17" s="2" t="s">
        <v>579</v>
      </c>
      <c r="E17" s="2">
        <v>0.05</v>
      </c>
      <c r="F17" s="2">
        <v>9.3299999999999994E-2</v>
      </c>
      <c r="G17" s="2"/>
      <c r="H17" s="2"/>
      <c r="I17" s="2"/>
      <c r="J17" s="2"/>
      <c r="K17" s="2"/>
      <c r="L17" s="2" t="s">
        <v>580</v>
      </c>
      <c r="M17" s="2" t="s">
        <v>581</v>
      </c>
      <c r="N17" s="2"/>
      <c r="O17" s="2"/>
      <c r="P17" s="2"/>
      <c r="Q17" s="2"/>
      <c r="R17" s="2"/>
      <c r="S17" s="2"/>
      <c r="T17" s="2"/>
      <c r="U17" s="2"/>
      <c r="V17" s="3" t="s">
        <v>145</v>
      </c>
      <c r="W17" s="4">
        <v>0.03</v>
      </c>
      <c r="X17" s="5">
        <v>143490</v>
      </c>
      <c r="Y17" s="5">
        <v>191942.39999999999</v>
      </c>
      <c r="Z17" s="5">
        <v>-48452.399999999987</v>
      </c>
      <c r="AA17" s="4">
        <v>1.3376709178339949</v>
      </c>
      <c r="AB17" s="3" t="s">
        <v>148</v>
      </c>
    </row>
    <row r="18" spans="1:28" ht="15">
      <c r="A18" s="9" t="s">
        <v>368</v>
      </c>
      <c r="B18" s="3" t="s">
        <v>369</v>
      </c>
      <c r="C18" s="2" t="s">
        <v>448</v>
      </c>
      <c r="D18" s="2" t="s">
        <v>568</v>
      </c>
      <c r="E18" s="2">
        <v>0.02</v>
      </c>
      <c r="F18" s="2">
        <v>5.2900000000000003E-2</v>
      </c>
      <c r="G18" s="2"/>
      <c r="H18" s="2"/>
      <c r="I18" s="2"/>
      <c r="J18" s="2"/>
      <c r="K18" s="2"/>
      <c r="L18" s="2" t="s">
        <v>582</v>
      </c>
      <c r="M18" s="2" t="s">
        <v>581</v>
      </c>
      <c r="N18" s="2"/>
      <c r="O18" s="2"/>
      <c r="P18" s="2"/>
      <c r="Q18" s="2"/>
      <c r="R18" s="2"/>
      <c r="S18" s="2"/>
      <c r="T18" s="2"/>
      <c r="U18" s="2"/>
      <c r="V18" s="3"/>
      <c r="W18" s="4"/>
      <c r="X18" s="5"/>
      <c r="Y18" s="5"/>
      <c r="Z18" s="5"/>
      <c r="AA18" s="4"/>
      <c r="AB18" s="3"/>
    </row>
    <row r="19" spans="1:28" ht="15">
      <c r="A19" s="9" t="s">
        <v>370</v>
      </c>
      <c r="B19" s="3" t="s">
        <v>371</v>
      </c>
      <c r="C19" s="2" t="s">
        <v>448</v>
      </c>
      <c r="D19" s="2" t="s">
        <v>579</v>
      </c>
      <c r="E19" s="2">
        <v>0.03</v>
      </c>
      <c r="F19" s="2">
        <v>4.5600000000000002E-2</v>
      </c>
      <c r="G19" s="2"/>
      <c r="H19" s="2"/>
      <c r="I19" s="2"/>
      <c r="J19" s="2"/>
      <c r="K19" s="2"/>
      <c r="L19" s="2" t="s">
        <v>583</v>
      </c>
      <c r="M19" s="2" t="s">
        <v>570</v>
      </c>
      <c r="N19" s="2"/>
      <c r="O19" s="2"/>
      <c r="P19" s="2"/>
      <c r="Q19" s="2"/>
      <c r="R19" s="2"/>
      <c r="S19" s="2"/>
      <c r="T19" s="2"/>
      <c r="U19" s="2"/>
      <c r="V19" s="3" t="s">
        <v>145</v>
      </c>
      <c r="W19" s="4">
        <v>0.03</v>
      </c>
      <c r="X19" s="5">
        <v>143490</v>
      </c>
      <c r="Y19" s="5">
        <v>191942.39999999999</v>
      </c>
      <c r="Z19" s="5">
        <v>-48452.399999999987</v>
      </c>
      <c r="AA19" s="4">
        <v>1.3376709178339949</v>
      </c>
      <c r="AB19" s="3" t="s">
        <v>148</v>
      </c>
    </row>
    <row r="20" spans="1:28" ht="15">
      <c r="A20" s="9" t="s">
        <v>372</v>
      </c>
      <c r="B20" s="3" t="s">
        <v>373</v>
      </c>
      <c r="C20" s="2" t="s">
        <v>448</v>
      </c>
      <c r="D20" s="2" t="s">
        <v>579</v>
      </c>
      <c r="E20" s="2">
        <v>0.02</v>
      </c>
      <c r="F20" s="2">
        <v>4.48E-2</v>
      </c>
      <c r="G20" s="2"/>
      <c r="H20" s="2"/>
      <c r="I20" s="2"/>
      <c r="J20" s="2"/>
      <c r="K20" s="2"/>
      <c r="L20" s="2" t="s">
        <v>583</v>
      </c>
      <c r="M20" s="2" t="s">
        <v>570</v>
      </c>
      <c r="N20" s="2"/>
      <c r="O20" s="2"/>
      <c r="P20" s="2"/>
      <c r="Q20" s="2"/>
      <c r="R20" s="2"/>
      <c r="S20" s="2"/>
      <c r="T20" s="2"/>
      <c r="U20" s="2"/>
      <c r="V20" s="3" t="s">
        <v>145</v>
      </c>
      <c r="W20" s="4">
        <v>0.03</v>
      </c>
      <c r="X20" s="5">
        <v>143490</v>
      </c>
      <c r="Y20" s="5">
        <v>191942.39999999999</v>
      </c>
      <c r="Z20" s="5">
        <v>-48452.399999999987</v>
      </c>
      <c r="AA20" s="4">
        <v>1.3376709178339949</v>
      </c>
      <c r="AB20" s="3" t="s">
        <v>148</v>
      </c>
    </row>
  </sheetData>
  <autoFilter ref="A1:AB20" xr:uid="{00000000-0009-0000-0000-00000F000000}"/>
  <phoneticPr fontId="3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2" width="14" customWidth="1"/>
    <col min="3" max="3" width="42" customWidth="1"/>
  </cols>
  <sheetData>
    <row r="1" spans="1:3" ht="15">
      <c r="A1" s="1" t="s">
        <v>584</v>
      </c>
      <c r="B1" s="1" t="s">
        <v>585</v>
      </c>
      <c r="C1" s="1" t="s">
        <v>49</v>
      </c>
    </row>
    <row r="2" spans="1:3" ht="15">
      <c r="A2" s="2" t="s">
        <v>586</v>
      </c>
      <c r="B2" s="2" t="s">
        <v>587</v>
      </c>
      <c r="C2" s="3" t="s">
        <v>588</v>
      </c>
    </row>
    <row r="3" spans="1:3" ht="30">
      <c r="A3" s="2" t="s">
        <v>589</v>
      </c>
      <c r="B3" s="2" t="s">
        <v>590</v>
      </c>
      <c r="C3" s="3" t="s">
        <v>591</v>
      </c>
    </row>
    <row r="4" spans="1:3" ht="30">
      <c r="A4" s="2" t="s">
        <v>592</v>
      </c>
      <c r="B4" s="2" t="s">
        <v>593</v>
      </c>
      <c r="C4" s="3" t="s">
        <v>594</v>
      </c>
    </row>
    <row r="5" spans="1:3" ht="30">
      <c r="A5" s="2" t="s">
        <v>595</v>
      </c>
      <c r="B5" s="2" t="s">
        <v>596</v>
      </c>
      <c r="C5" s="3" t="s">
        <v>597</v>
      </c>
    </row>
    <row r="6" spans="1:3" ht="30">
      <c r="A6" s="2" t="s">
        <v>598</v>
      </c>
      <c r="B6" s="2" t="s">
        <v>599</v>
      </c>
      <c r="C6" s="3" t="s">
        <v>600</v>
      </c>
    </row>
    <row r="7" spans="1:3" ht="15">
      <c r="A7" s="2" t="s">
        <v>601</v>
      </c>
      <c r="B7" s="2" t="s">
        <v>602</v>
      </c>
      <c r="C7" s="3" t="s">
        <v>603</v>
      </c>
    </row>
    <row r="8" spans="1:3" ht="60">
      <c r="A8" s="2" t="s">
        <v>604</v>
      </c>
      <c r="B8" s="2" t="s">
        <v>605</v>
      </c>
      <c r="C8" s="3" t="s">
        <v>606</v>
      </c>
    </row>
    <row r="9" spans="1:3" ht="30">
      <c r="A9" s="2" t="s">
        <v>607</v>
      </c>
      <c r="B9" s="2" t="s">
        <v>608</v>
      </c>
      <c r="C9" s="3" t="s">
        <v>609</v>
      </c>
    </row>
    <row r="10" spans="1:3" ht="15">
      <c r="A10" s="2" t="s">
        <v>610</v>
      </c>
      <c r="B10" s="2" t="s">
        <v>611</v>
      </c>
      <c r="C10" s="3" t="s">
        <v>612</v>
      </c>
    </row>
  </sheetData>
  <autoFilter ref="A1:C10" xr:uid="{00000000-0009-0000-0000-000010000000}"/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Decision_Center</vt:lpstr>
      <vt:lpstr>Dashboard</vt:lpstr>
      <vt:lpstr>FirstYear_Allocation</vt:lpstr>
      <vt:lpstr>Execution_Plan</vt:lpstr>
      <vt:lpstr>Checks</vt:lpstr>
      <vt:lpstr>Framework_Rules</vt:lpstr>
      <vt:lpstr>Double_Anchor</vt:lpstr>
      <vt:lpstr>Emotion</vt:lpstr>
      <vt:lpstr>Quality_Score</vt:lpstr>
      <vt:lpstr>Exposure</vt:lpstr>
      <vt:lpstr>Market_Data</vt:lpstr>
      <vt:lpstr>Buy_Filter</vt:lpstr>
      <vt:lpstr>Positions</vt:lpstr>
      <vt:lpstr>Positions_Action</vt:lpstr>
      <vt:lpstr>Broker_Snapshot</vt:lpstr>
      <vt:lpstr>Watchlist</vt:lpstr>
      <vt:lpstr>使用说明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Sean Yao</cp:lastModifiedBy>
  <dcterms:created xsi:type="dcterms:W3CDTF">2026-06-19T04:03:25Z</dcterms:created>
  <dcterms:modified xsi:type="dcterms:W3CDTF">2026-06-19T12:25:39Z</dcterms:modified>
</cp:coreProperties>
</file>