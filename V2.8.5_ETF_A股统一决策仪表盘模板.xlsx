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今日决策" sheetId="1" state="visible" r:id="rId1"/>
    <sheet xmlns:r="http://schemas.openxmlformats.org/officeDocument/2006/relationships" name="02_今日动作" sheetId="2" state="visible" r:id="rId2"/>
    <sheet xmlns:r="http://schemas.openxmlformats.org/officeDocument/2006/relationships" name="03_买入候选" sheetId="3" state="visible" r:id="rId3"/>
    <sheet xmlns:r="http://schemas.openxmlformats.org/officeDocument/2006/relationships" name="04_持仓风险" sheetId="4" state="visible" r:id="rId4"/>
    <sheet xmlns:r="http://schemas.openxmlformats.org/officeDocument/2006/relationships" name="05_年度配置" sheetId="5" state="visible" r:id="rId5"/>
    <sheet xmlns:r="http://schemas.openxmlformats.org/officeDocument/2006/relationships" name="06_组合总览" sheetId="6" state="visible" r:id="rId6"/>
    <sheet xmlns:r="http://schemas.openxmlformats.org/officeDocument/2006/relationships" name="Double_Anchor" sheetId="7" state="visible" r:id="rId7"/>
    <sheet xmlns:r="http://schemas.openxmlformats.org/officeDocument/2006/relationships" name="Emotion" sheetId="8" state="visible" r:id="rId8"/>
    <sheet xmlns:r="http://schemas.openxmlformats.org/officeDocument/2006/relationships" name="Quality_Score" sheetId="9" state="visible" r:id="rId9"/>
    <sheet xmlns:r="http://schemas.openxmlformats.org/officeDocument/2006/relationships" name="Exposure" sheetId="10" state="visible" r:id="rId10"/>
    <sheet xmlns:r="http://schemas.openxmlformats.org/officeDocument/2006/relationships" name="Market_Data" sheetId="11" state="visible" r:id="rId11"/>
    <sheet xmlns:r="http://schemas.openxmlformats.org/officeDocument/2006/relationships" name="Positions" sheetId="12" state="visible" r:id="rId12"/>
    <sheet xmlns:r="http://schemas.openxmlformats.org/officeDocument/2006/relationships" name="Broker_Snapshot" sheetId="13" state="visible" r:id="rId13"/>
    <sheet xmlns:r="http://schemas.openxmlformats.org/officeDocument/2006/relationships" name="Watchlist" sheetId="14" state="visible" r:id="rId14"/>
    <sheet xmlns:r="http://schemas.openxmlformats.org/officeDocument/2006/relationships" name="Framework_Rules" sheetId="15" state="visible" r:id="rId15"/>
    <sheet xmlns:r="http://schemas.openxmlformats.org/officeDocument/2006/relationships" name="Checks" sheetId="16" state="visible" r:id="rId16"/>
    <sheet xmlns:r="http://schemas.openxmlformats.org/officeDocument/2006/relationships" name="使用说明" sheetId="17" state="visible" r:id="rId17"/>
  </sheets>
  <definedNames>
    <definedName name="_xlnm._FilterDatabase" localSheetId="1" hidden="1">'02_今日动作'!$A$1:$P$3</definedName>
    <definedName name="_xlnm._FilterDatabase" localSheetId="2" hidden="1">'03_买入候选'!$A$1:$AM$20</definedName>
    <definedName name="_xlnm._FilterDatabase" localSheetId="3" hidden="1">'04_持仓风险'!$A$1:$AJ$14</definedName>
    <definedName name="_xlnm._FilterDatabase" localSheetId="4" hidden="1">'05_年度配置'!$A$1:$S$12</definedName>
    <definedName name="_xlnm._FilterDatabase" localSheetId="5" hidden="1">'06_组合总览'!$A$1:$B$38</definedName>
    <definedName name="_xlnm._FilterDatabase" localSheetId="6" hidden="1">'Double_Anchor'!$A$1:$I$9</definedName>
    <definedName name="_xlnm._FilterDatabase" localSheetId="7" hidden="1">'Emotion'!$A$1:$F$8</definedName>
    <definedName name="_xlnm._FilterDatabase" localSheetId="8" hidden="1">'Quality_Score'!$A$1:$R$20</definedName>
    <definedName name="_xlnm._FilterDatabase" localSheetId="9" hidden="1">'Exposure'!$A$1:$T$20</definedName>
    <definedName name="_xlnm._FilterDatabase" localSheetId="10" hidden="1">'Market_Data'!$A$1:$AA$21</definedName>
    <definedName name="_xlnm._FilterDatabase" localSheetId="11" hidden="1">'Positions'!$A$1:$AC$14</definedName>
    <definedName name="_xlnm._FilterDatabase" localSheetId="12" hidden="1">'Broker_Snapshot'!$A$1:$W$14</definedName>
    <definedName name="_xlnm._FilterDatabase" localSheetId="13" hidden="1">'Watchlist'!$A$1:$AB$20</definedName>
    <definedName name="_xlnm._FilterDatabase" localSheetId="14" hidden="1">'Framework_Rules'!$A$1:$D$27</definedName>
    <definedName name="_xlnm._FilterDatabase" localSheetId="15" hidden="1">'Checks'!$A$1:$G$11</definedName>
    <definedName name="_xlnm._FilterDatabase" localSheetId="16" hidden="1">'使用说明'!$A$1:$C$10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-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9C0006"/>
      <sz val="13"/>
    </font>
    <font>
      <b val="1"/>
      <color rgb="001F1F1F"/>
    </font>
    <font>
      <b val="1"/>
      <sz val="15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CC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D9EAD3"/>
      </patternFill>
    </fill>
    <fill>
      <patternFill patternType="solid">
        <fgColor rgb="007F6000"/>
      </patternFill>
    </fill>
    <fill>
      <patternFill patternType="solid">
        <fgColor rgb="00FFC7CE"/>
      </patternFill>
    </fill>
    <fill>
      <patternFill patternType="solid">
        <fgColor rgb="00EAF3F8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6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7" borderId="0" pivotButton="0" quotePrefix="0" xfId="0"/>
    <xf numFmtId="0" fontId="6" fillId="3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6" fillId="8" borderId="0" applyAlignment="1" pivotButton="0" quotePrefix="0" xfId="0">
      <alignment horizontal="center" vertical="center" wrapText="1"/>
    </xf>
    <xf numFmtId="49" fontId="0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vertical="center"/>
    </xf>
    <xf numFmtId="10" fontId="0" fillId="9" borderId="0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6" fontId="0" fillId="9" borderId="0" applyAlignment="1" pivotButton="0" quotePrefix="0" xfId="0">
      <alignment vertical="center"/>
    </xf>
    <xf numFmtId="165" fontId="0" fillId="9" borderId="0" applyAlignment="1" pivotButton="0" quotePrefix="0" xfId="0">
      <alignment vertical="center"/>
    </xf>
    <xf numFmtId="2" fontId="0" fillId="9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6" fillId="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9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6" fillId="11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当前仓位 vs 目标仓位</a:t>
            </a:r>
          </a:p>
        </rich>
      </tx>
    </title>
    <plotArea>
      <barChart>
        <barDir val="bar"/>
        <grouping val="clustered"/>
        <ser>
          <idx val="0"/>
          <order val="0"/>
          <tx>
            <v>当前仓位</v>
          </tx>
          <spPr>
            <a:ln xmlns:a="http://schemas.openxmlformats.org/drawingml/2006/main">
              <a:prstDash val="solid"/>
            </a:ln>
          </spPr>
          <cat>
            <numRef>
              <f>'Positions'!$B$2:$B$14</f>
            </numRef>
          </cat>
          <val>
            <numRef>
              <f>'Positions'!$N$2:$N$14</f>
            </numRef>
          </val>
        </ser>
        <ser>
          <idx val="1"/>
          <order val="1"/>
          <tx>
            <v>目标仓位</v>
          </tx>
          <spPr>
            <a:ln xmlns:a="http://schemas.openxmlformats.org/drawingml/2006/main">
              <a:prstDash val="solid"/>
            </a:ln>
          </spPr>
          <cat>
            <numRef>
              <f>'Positions'!$B$2:$B$14</f>
            </numRef>
          </cat>
          <val>
            <numRef>
              <f>'Positions'!$T$2:$T$14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证券账户权重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标的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第一年配置：当前金额 vs 动态目标</a:t>
            </a:r>
          </a:p>
        </rich>
      </tx>
    </title>
    <plotArea>
      <barChart>
        <barDir val="bar"/>
        <grouping val="clustered"/>
        <ser>
          <idx val="0"/>
          <order val="0"/>
          <tx>
            <v>当前金额</v>
          </tx>
          <spPr>
            <a:ln xmlns:a="http://schemas.openxmlformats.org/drawingml/2006/main">
              <a:prstDash val="solid"/>
            </a:ln>
          </spPr>
          <cat>
            <numRef>
              <f>'05_年度配置'!$B$2:$B$12</f>
            </numRef>
          </cat>
          <val>
            <numRef>
              <f>'05_年度配置'!$H$2:$H$12</f>
            </numRef>
          </val>
        </ser>
        <ser>
          <idx val="1"/>
          <order val="1"/>
          <tx>
            <v>动态目标</v>
          </tx>
          <spPr>
            <a:ln xmlns:a="http://schemas.openxmlformats.org/drawingml/2006/main">
              <a:prstDash val="solid"/>
            </a:ln>
          </spPr>
          <cat>
            <numRef>
              <f>'05_年度配置'!$B$2:$B$12</f>
            </numRef>
          </cat>
          <val>
            <numRef>
              <f>'05_年度配置'!$G$2:$G$12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金额（元）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配置项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9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594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8" customWidth="1" min="3" max="3"/>
    <col width="15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0" customHeight="1">
      <c r="A1" s="1" t="inlineStr">
        <is>
          <t>V2.8.5 今日行动决策中心</t>
        </is>
      </c>
    </row>
    <row r="2" ht="26" customHeight="1">
      <c r="A2" s="2" t="inlineStr">
        <is>
          <t>今日结论：只做风控，不新增｜市场权限：暂停标准新增｜动作队列：2项</t>
        </is>
      </c>
    </row>
    <row r="4">
      <c r="A4" s="3" t="inlineStr">
        <is>
          <t>市场权限</t>
        </is>
      </c>
      <c r="C4" s="3" t="inlineStr">
        <is>
          <t>买入候选</t>
        </is>
      </c>
      <c r="E4" s="3" t="inlineStr">
        <is>
          <t>减仓复核</t>
        </is>
      </c>
      <c r="G4" s="3" t="inlineStr">
        <is>
          <t>现金安全垫</t>
        </is>
      </c>
    </row>
    <row r="5">
      <c r="A5" s="4" t="inlineStr">
        <is>
          <t>暂停标准新增</t>
        </is>
      </c>
      <c r="C5" s="5" t="inlineStr">
        <is>
          <t>0只</t>
        </is>
      </c>
      <c r="E5" s="5" t="inlineStr">
        <is>
          <t>10项</t>
        </is>
      </c>
      <c r="G5" s="6" t="inlineStr">
        <is>
          <t>达标</t>
        </is>
      </c>
    </row>
    <row r="6"/>
    <row r="8">
      <c r="A8" s="7" t="inlineStr">
        <is>
          <t>今日动作（风控优先，最多一个买入方向 + 两个减仓方向）</t>
        </is>
      </c>
    </row>
    <row r="9">
      <c r="A9" s="8" t="inlineStr">
        <is>
          <t>顺序</t>
        </is>
      </c>
      <c r="B9" s="8" t="inlineStr">
        <is>
          <t>动作类型</t>
        </is>
      </c>
      <c r="C9" s="8" t="inlineStr">
        <is>
          <t>标的</t>
        </is>
      </c>
      <c r="D9" s="8" t="inlineStr">
        <is>
          <t>状态</t>
        </is>
      </c>
      <c r="E9" s="8" t="inlineStr">
        <is>
          <t>核心依据</t>
        </is>
      </c>
    </row>
    <row r="10" ht="30" customHeight="1">
      <c r="A10" s="9" t="n">
        <v>1</v>
      </c>
      <c r="B10" s="9" t="inlineStr">
        <is>
          <t>风控/减仓复核</t>
        </is>
      </c>
      <c r="C10" s="9" t="inlineStr">
        <is>
          <t>上证ETF(510210)</t>
        </is>
      </c>
      <c r="D10" s="9" t="inlineStr">
        <is>
          <t>优先处理</t>
        </is>
      </c>
      <c r="E10" s="9" t="inlineStr">
        <is>
          <t>上证ETF属于宽基重复，价格进入1.01-1.03元纪律区间</t>
        </is>
      </c>
      <c r="F10" s="9" t="n"/>
      <c r="G10" s="9" t="n"/>
      <c r="H10" s="9" t="n"/>
    </row>
    <row r="11" ht="30" customHeight="1">
      <c r="A11" s="9" t="n">
        <v>2</v>
      </c>
      <c r="B11" s="9" t="inlineStr">
        <is>
          <t>风控/减仓复核</t>
        </is>
      </c>
      <c r="C11" s="9" t="inlineStr">
        <is>
          <t>比亚迪(002594)</t>
        </is>
      </c>
      <c r="D11" s="9" t="inlineStr">
        <is>
          <t>优先处理</t>
        </is>
      </c>
      <c r="E11" s="9" t="inlineStr">
        <is>
          <t>证券账户仓位9.33%，超过目标5.00%</t>
        </is>
      </c>
      <c r="F11" s="9" t="n"/>
      <c r="G11" s="9" t="n"/>
      <c r="H11" s="9" t="n"/>
    </row>
    <row r="14">
      <c r="A14" s="10" t="inlineStr">
        <is>
          <t>主要阻断原因</t>
        </is>
      </c>
    </row>
    <row r="15" ht="28" customHeight="1">
      <c r="A15" s="9" t="inlineStr">
        <is>
          <t>科创生物医药ETF</t>
        </is>
      </c>
      <c r="B15" s="9" t="inlineStr">
        <is>
          <t>红</t>
        </is>
      </c>
      <c r="C15" s="9" t="inlineStr">
        <is>
          <t>缺少完整质量评分或证据，禁止新增</t>
        </is>
      </c>
      <c r="D15" s="9" t="n"/>
      <c r="E15" s="9" t="n"/>
      <c r="F15" s="9" t="n"/>
      <c r="G15" s="9" t="inlineStr">
        <is>
          <t>质量评分或证据不完整，先补评分，禁止新增</t>
        </is>
      </c>
      <c r="H15" s="9" t="n"/>
    </row>
    <row r="16" ht="28" customHeight="1">
      <c r="A16" s="9" t="inlineStr">
        <is>
          <t>红利低波ETF</t>
        </is>
      </c>
      <c r="B16" s="9" t="inlineStr">
        <is>
          <t>红</t>
        </is>
      </c>
      <c r="C16" s="9" t="inlineStr">
        <is>
          <t>缺少完整质量评分或证据，禁止新增</t>
        </is>
      </c>
      <c r="D16" s="9" t="n"/>
      <c r="E16" s="9" t="n"/>
      <c r="F16" s="9" t="n"/>
      <c r="G16" s="9" t="inlineStr">
        <is>
          <t>质量评分或证据不完整，先补评分，禁止新增</t>
        </is>
      </c>
      <c r="H16" s="9" t="n"/>
    </row>
    <row r="17" ht="28" customHeight="1">
      <c r="A17" s="9" t="inlineStr">
        <is>
          <t>机器人ETF</t>
        </is>
      </c>
      <c r="B17" s="9" t="inlineStr">
        <is>
          <t>红</t>
        </is>
      </c>
      <c r="C17" s="9" t="inlineStr">
        <is>
          <t>持有不加，禁止新增仓位</t>
        </is>
      </c>
      <c r="D17" s="9" t="n"/>
      <c r="E17" s="9" t="n"/>
      <c r="F17" s="9" t="n"/>
      <c r="G17" s="9" t="inlineStr">
        <is>
          <t>持有不加，禁止新增；低于目标，剩余 0.65%</t>
        </is>
      </c>
      <c r="H17" s="9" t="n"/>
    </row>
    <row r="19">
      <c r="A19" s="11" t="inlineStr">
        <is>
          <t>数据状态：行情未刷新｜未取到当日接口时间｜未刷新时禁止新增</t>
        </is>
      </c>
    </row>
    <row r="20"/>
  </sheetData>
  <mergeCells count="22">
    <mergeCell ref="C17:F17"/>
    <mergeCell ref="A5:B6"/>
    <mergeCell ref="G5:H6"/>
    <mergeCell ref="A1:H1"/>
    <mergeCell ref="G17:H17"/>
    <mergeCell ref="C4:D4"/>
    <mergeCell ref="E4:F4"/>
    <mergeCell ref="C15:F15"/>
    <mergeCell ref="A19:H20"/>
    <mergeCell ref="G15:H15"/>
    <mergeCell ref="A2:H2"/>
    <mergeCell ref="C5:D6"/>
    <mergeCell ref="C16:F16"/>
    <mergeCell ref="E5:F6"/>
    <mergeCell ref="A14:H14"/>
    <mergeCell ref="E10:H10"/>
    <mergeCell ref="A8:H8"/>
    <mergeCell ref="A4:B4"/>
    <mergeCell ref="G4:H4"/>
    <mergeCell ref="E9:H9"/>
    <mergeCell ref="G16:H16"/>
    <mergeCell ref="E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42" customWidth="1" min="7" max="7"/>
    <col width="12" customWidth="1" min="8" max="8"/>
    <col width="12" customWidth="1" min="9" max="9"/>
    <col width="12" customWidth="1" min="10" max="10"/>
    <col width="2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2" t="inlineStr">
        <is>
          <t>优先级</t>
        </is>
      </c>
      <c r="B1" s="12" t="inlineStr">
        <is>
          <t>动作类型</t>
        </is>
      </c>
      <c r="C1" s="12" t="inlineStr">
        <is>
          <t>Code</t>
        </is>
      </c>
      <c r="D1" s="12" t="inlineStr">
        <is>
          <t>标的</t>
        </is>
      </c>
      <c r="E1" s="12" t="inlineStr">
        <is>
          <t>状态</t>
        </is>
      </c>
      <c r="F1" s="12" t="inlineStr">
        <is>
          <t>动作预算</t>
        </is>
      </c>
      <c r="G1" s="12" t="inlineStr">
        <is>
          <t>依据</t>
        </is>
      </c>
      <c r="H1" s="12" t="inlineStr">
        <is>
          <t>当前仓位</t>
        </is>
      </c>
      <c r="I1" s="12" t="inlineStr">
        <is>
          <t>目标仓位</t>
        </is>
      </c>
      <c r="J1" s="12" t="inlineStr">
        <is>
          <t>剩余额度</t>
        </is>
      </c>
      <c r="K1" s="12" t="inlineStr">
        <is>
          <t>年度配置项</t>
        </is>
      </c>
      <c r="L1" s="12" t="inlineStr">
        <is>
          <t>年度资金缺口</t>
        </is>
      </c>
      <c r="M1" s="12" t="inlineStr">
        <is>
          <t>年度完成率</t>
        </is>
      </c>
      <c r="N1" s="12" t="inlineStr">
        <is>
          <t>主题</t>
        </is>
      </c>
      <c r="O1" s="12" t="inlineStr">
        <is>
          <t>是否占用额度</t>
        </is>
      </c>
      <c r="P1" s="12" t="inlineStr">
        <is>
          <t>年度全资产目标</t>
        </is>
      </c>
    </row>
    <row r="2">
      <c r="A2" s="13" t="n">
        <v>1</v>
      </c>
      <c r="B2" s="14" t="inlineStr">
        <is>
          <t>风控/减仓复核</t>
        </is>
      </c>
      <c r="C2" s="15" t="inlineStr">
        <is>
          <t>510210</t>
        </is>
      </c>
      <c r="D2" s="13" t="inlineStr">
        <is>
          <t>上证ETF(510210)</t>
        </is>
      </c>
      <c r="E2" s="13" t="inlineStr">
        <is>
          <t>优先处理</t>
        </is>
      </c>
      <c r="F2" s="13" t="inlineStr">
        <is>
          <t>最多2个卖出/减仓方向</t>
        </is>
      </c>
      <c r="G2" s="9" t="inlineStr">
        <is>
          <t>上证ETF属于宽基重复，价格进入1.01-1.03元纪律区间</t>
        </is>
      </c>
      <c r="H2" s="16" t="n">
        <v>0.0344</v>
      </c>
      <c r="I2" s="16" t="n">
        <v>0.04</v>
      </c>
      <c r="J2" s="16" t="n">
        <v>0.005600000000000001</v>
      </c>
      <c r="K2" s="9" t="inlineStr">
        <is>
          <t>中证A500ETF</t>
        </is>
      </c>
      <c r="L2" s="17" t="n">
        <v>273365.8</v>
      </c>
      <c r="M2" s="16" t="n">
        <v>0.285579657118963</v>
      </c>
      <c r="N2" s="13" t="inlineStr">
        <is>
          <t>防御/宽基</t>
        </is>
      </c>
      <c r="O2" s="13" t="inlineStr">
        <is>
          <t>是</t>
        </is>
      </c>
      <c r="P2" s="16" t="n">
        <v>0.08</v>
      </c>
    </row>
    <row r="3">
      <c r="A3" s="13" t="n">
        <v>2</v>
      </c>
      <c r="B3" s="14" t="inlineStr">
        <is>
          <t>风控/减仓复核</t>
        </is>
      </c>
      <c r="C3" s="15" t="inlineStr">
        <is>
          <t>002594</t>
        </is>
      </c>
      <c r="D3" s="13" t="inlineStr">
        <is>
          <t>比亚迪(002594)</t>
        </is>
      </c>
      <c r="E3" s="13" t="inlineStr">
        <is>
          <t>优先处理</t>
        </is>
      </c>
      <c r="F3" s="13" t="inlineStr">
        <is>
          <t>最多2个卖出/减仓方向</t>
        </is>
      </c>
      <c r="G3" s="9" t="inlineStr">
        <is>
          <t>证券账户仓位9.33%，超过目标5.00%</t>
        </is>
      </c>
      <c r="H3" s="16" t="n">
        <v>0.09329999999999999</v>
      </c>
      <c r="I3" s="16" t="n">
        <v>0.05</v>
      </c>
      <c r="J3" s="16" t="n">
        <v>0</v>
      </c>
      <c r="K3" s="9" t="inlineStr">
        <is>
          <t>比亚迪+绿电+储能</t>
        </is>
      </c>
      <c r="L3" s="17" t="n">
        <v>-48452.39999999999</v>
      </c>
      <c r="M3" s="16" t="n">
        <v>1.337670917833995</v>
      </c>
      <c r="N3" s="13" t="inlineStr">
        <is>
          <t>新能源/绿电</t>
        </is>
      </c>
      <c r="O3" s="13" t="inlineStr">
        <is>
          <t>是</t>
        </is>
      </c>
      <c r="P3" s="16" t="n">
        <v>0.03</v>
      </c>
    </row>
  </sheetData>
  <autoFilter ref="A1:P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44" customWidth="1" min="4" max="4"/>
    <col width="14" customWidth="1" min="5" max="5"/>
    <col width="9" customWidth="1" min="6" max="6"/>
    <col width="22" customWidth="1" min="7" max="7"/>
    <col width="14" customWidth="1" min="8" max="8"/>
    <col width="12" customWidth="1" min="9" max="9"/>
    <col width="12" customWidth="1" min="10" max="10"/>
    <col width="12" customWidth="1" min="11" max="11"/>
    <col width="2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1" customWidth="1" min="17" max="17"/>
    <col width="11" customWidth="1" min="18" max="18"/>
    <col width="12" customWidth="1" min="19" max="19"/>
    <col width="22" customWidth="1" min="20" max="20"/>
    <col width="11" customWidth="1" min="21" max="21"/>
    <col width="10" customWidth="1" min="22" max="22"/>
    <col width="13" customWidth="1" min="23" max="23"/>
    <col width="11" customWidth="1" min="24" max="24"/>
    <col width="16" customWidth="1" min="25" max="25"/>
    <col width="18" customWidth="1" min="26" max="26"/>
    <col width="16" customWidth="1" min="27" max="27"/>
    <col width="14" customWidth="1" min="28" max="28"/>
    <col width="16" customWidth="1" min="29" max="29"/>
    <col width="18" customWidth="1" min="30" max="30"/>
    <col width="36" customWidth="1" min="31" max="31"/>
    <col width="36" customWidth="1" min="32" max="32"/>
    <col width="36" customWidth="1" min="33" max="33"/>
    <col width="11" customWidth="1" min="34" max="34"/>
    <col width="34" customWidth="1" min="35" max="35"/>
    <col width="14" customWidth="1" min="36" max="36"/>
    <col width="14" customWidth="1" min="37" max="37"/>
    <col width="14" customWidth="1" min="38" max="38"/>
    <col width="18" customWidth="1" min="39" max="39"/>
  </cols>
  <sheetData>
    <row r="1">
      <c r="A1" s="12" t="inlineStr">
        <is>
          <t>买点灯号</t>
        </is>
      </c>
      <c r="B1" s="12" t="inlineStr">
        <is>
          <t>Code</t>
        </is>
      </c>
      <c r="C1" s="12" t="inlineStr">
        <is>
          <t>Name</t>
        </is>
      </c>
      <c r="D1" s="12" t="inlineStr">
        <is>
          <t>建议</t>
        </is>
      </c>
      <c r="E1" s="12" t="inlineStr">
        <is>
          <t>阻断原因</t>
        </is>
      </c>
      <c r="F1" s="12" t="inlineStr">
        <is>
          <t>通过项</t>
        </is>
      </c>
      <c r="G1" s="12" t="inlineStr">
        <is>
          <t>质量状态</t>
        </is>
      </c>
      <c r="H1" s="12" t="inlineStr">
        <is>
          <t>市场权限</t>
        </is>
      </c>
      <c r="I1" s="12" t="inlineStr">
        <is>
          <t>当前仓位</t>
        </is>
      </c>
      <c r="J1" s="12" t="inlineStr">
        <is>
          <t>目标仓位</t>
        </is>
      </c>
      <c r="K1" s="12" t="inlineStr">
        <is>
          <t>剩余额度</t>
        </is>
      </c>
      <c r="L1" s="12" t="inlineStr">
        <is>
          <t>年度配置项</t>
        </is>
      </c>
      <c r="M1" s="12" t="inlineStr">
        <is>
          <t>年度资金缺口</t>
        </is>
      </c>
      <c r="N1" s="12" t="inlineStr">
        <is>
          <t>年度完成率</t>
        </is>
      </c>
      <c r="O1" s="12" t="inlineStr">
        <is>
          <t>数据状态</t>
        </is>
      </c>
      <c r="P1" s="12" t="inlineStr">
        <is>
          <t>Role</t>
        </is>
      </c>
      <c r="Q1" s="12" t="inlineStr">
        <is>
          <t>质量评分</t>
        </is>
      </c>
      <c r="R1" s="12" t="inlineStr">
        <is>
          <t>情绪温度</t>
        </is>
      </c>
      <c r="S1" s="12" t="inlineStr">
        <is>
          <t>反馈状态</t>
        </is>
      </c>
      <c r="T1" s="12" t="inlineStr">
        <is>
          <t>仓位状态</t>
        </is>
      </c>
      <c r="U1" s="12" t="inlineStr">
        <is>
          <t>Latest</t>
        </is>
      </c>
      <c r="V1" s="12" t="inlineStr">
        <is>
          <t>PctChg</t>
        </is>
      </c>
      <c r="W1" s="12" t="inlineStr">
        <is>
          <t>日内位置</t>
        </is>
      </c>
      <c r="X1" s="12" t="inlineStr">
        <is>
          <t>量能倍数</t>
        </is>
      </c>
      <c r="Y1" s="12" t="inlineStr">
        <is>
          <t>分时结构</t>
        </is>
      </c>
      <c r="Z1" s="12" t="inlineStr">
        <is>
          <t>量价关系</t>
        </is>
      </c>
      <c r="AA1" s="12" t="inlineStr">
        <is>
          <t>份额变动</t>
        </is>
      </c>
      <c r="AB1" s="12" t="inlineStr">
        <is>
          <t>折溢价</t>
        </is>
      </c>
      <c r="AC1" s="12" t="inlineStr">
        <is>
          <t>龙头同步</t>
        </is>
      </c>
      <c r="AD1" s="12" t="inlineStr">
        <is>
          <t>次日验证</t>
        </is>
      </c>
      <c r="AE1" s="12" t="inlineStr">
        <is>
          <t>通过明细</t>
        </is>
      </c>
      <c r="AF1" s="12" t="inlineStr">
        <is>
          <t>未通过项</t>
        </is>
      </c>
      <c r="AG1" s="12" t="inlineStr">
        <is>
          <t>待确认项</t>
        </is>
      </c>
      <c r="AH1" s="12" t="inlineStr">
        <is>
          <t>一票否决</t>
        </is>
      </c>
      <c r="AI1" s="12" t="inlineStr">
        <is>
          <t>否决原因</t>
        </is>
      </c>
      <c r="AJ1" s="12" t="inlineStr">
        <is>
          <t>年度全资产目标</t>
        </is>
      </c>
      <c r="AK1" s="12" t="inlineStr">
        <is>
          <t>年度目标金额</t>
        </is>
      </c>
      <c r="AL1" s="12" t="inlineStr">
        <is>
          <t>年度组内当前金额</t>
        </is>
      </c>
      <c r="AM1" s="12" t="inlineStr">
        <is>
          <t>年度配置状态</t>
        </is>
      </c>
    </row>
    <row r="2" ht="38" customHeight="1">
      <c r="A2" s="18" t="inlineStr">
        <is>
          <t>红</t>
        </is>
      </c>
      <c r="B2" s="19" t="inlineStr">
        <is>
          <t>588700</t>
        </is>
      </c>
      <c r="C2" s="20" t="inlineStr">
        <is>
          <t>科创生物医药ETF</t>
        </is>
      </c>
      <c r="D2" s="20" t="inlineStr">
        <is>
          <t>质量评分或证据不完整，先补评分，禁止新增</t>
        </is>
      </c>
      <c r="E2" s="21" t="inlineStr">
        <is>
          <t>缺少完整质量评分或证据，禁止新增</t>
        </is>
      </c>
      <c r="F2" s="21" t="n">
        <v>0</v>
      </c>
      <c r="G2" s="20" t="inlineStr">
        <is>
          <t>数据不足，需人工评分</t>
        </is>
      </c>
      <c r="H2" s="21" t="inlineStr">
        <is>
          <t>暂停标准新增</t>
        </is>
      </c>
      <c r="I2" s="22" t="n">
        <v>0</v>
      </c>
      <c r="J2" s="22" t="n">
        <v>0.03</v>
      </c>
      <c r="K2" s="22" t="n">
        <v>0.03</v>
      </c>
      <c r="L2" s="20" t="inlineStr">
        <is>
          <t>创新药ETF</t>
        </is>
      </c>
      <c r="M2" s="23" t="n">
        <v>95660</v>
      </c>
      <c r="N2" s="22" t="n">
        <v>0</v>
      </c>
      <c r="O2" s="21" t="inlineStr">
        <is>
          <t>行情未刷新</t>
        </is>
      </c>
      <c r="P2" s="21" t="inlineStr">
        <is>
          <t>观察仓</t>
        </is>
      </c>
      <c r="Q2" s="24" t="n"/>
      <c r="R2" s="21" t="n">
        <v>1</v>
      </c>
      <c r="S2" s="21" t="inlineStr">
        <is>
          <t>待确认</t>
        </is>
      </c>
      <c r="T2" s="20" t="inlineStr">
        <is>
          <t>低于目标，剩余 3.00%</t>
        </is>
      </c>
      <c r="U2" s="25" t="n">
        <v/>
      </c>
      <c r="V2" s="26" t="n"/>
      <c r="W2" s="21" t="n"/>
      <c r="X2" s="26" t="n"/>
      <c r="Y2" s="21" t="inlineStr">
        <is>
          <t>缺少日内数据</t>
        </is>
      </c>
      <c r="Z2" s="20" t="inlineStr">
        <is>
          <t>缺少涨跌幅</t>
        </is>
      </c>
      <c r="AA2" s="21" t="inlineStr">
        <is>
          <t>量能替代：缺少成交额/20日均额</t>
        </is>
      </c>
      <c r="AB2" s="21" t="inlineStr">
        <is>
          <t>折溢价替代：缺少涨跌幅</t>
        </is>
      </c>
      <c r="AC2" s="21" t="inlineStr">
        <is>
          <t>待人工确认</t>
        </is>
      </c>
      <c r="AD2" s="20" t="inlineStr">
        <is>
          <t>待次日确认</t>
        </is>
      </c>
      <c r="AE2" s="20" t="inlineStr">
        <is>
          <t>无</t>
        </is>
      </c>
      <c r="AF2" s="20" t="inlineStr">
        <is>
          <t>无</t>
        </is>
      </c>
      <c r="AG2" s="20" t="inlineStr">
        <is>
          <t>分时结构；量价关系；份额/筹码；折溢价/估值；龙头同步；次日验证</t>
        </is>
      </c>
      <c r="AH2" s="14" t="inlineStr">
        <is>
          <t>是</t>
        </is>
      </c>
      <c r="AI2" s="20" t="inlineStr">
        <is>
          <t>缺少完整质量评分或证据，禁止新增</t>
        </is>
      </c>
      <c r="AJ2" s="22" t="n">
        <v>0.02</v>
      </c>
      <c r="AK2" s="23" t="n">
        <v>95660</v>
      </c>
      <c r="AL2" s="23" t="n">
        <v>0</v>
      </c>
      <c r="AM2" s="20" t="inlineStr">
        <is>
          <t>配置中</t>
        </is>
      </c>
    </row>
    <row r="3" ht="38" customHeight="1">
      <c r="A3" s="18" t="inlineStr">
        <is>
          <t>红</t>
        </is>
      </c>
      <c r="B3" s="15" t="inlineStr">
        <is>
          <t>512890</t>
        </is>
      </c>
      <c r="C3" s="9" t="inlineStr">
        <is>
          <t>红利低波ETF</t>
        </is>
      </c>
      <c r="D3" s="9" t="inlineStr">
        <is>
          <t>质量评分或证据不完整，先补评分，禁止新增</t>
        </is>
      </c>
      <c r="E3" s="13" t="inlineStr">
        <is>
          <t>缺少完整质量评分或证据，禁止新增</t>
        </is>
      </c>
      <c r="F3" s="13" t="n">
        <v>0</v>
      </c>
      <c r="G3" s="9" t="inlineStr">
        <is>
          <t>数据不足，需人工评分</t>
        </is>
      </c>
      <c r="H3" s="13" t="inlineStr">
        <is>
          <t>暂停标准新增</t>
        </is>
      </c>
      <c r="I3" s="16" t="n">
        <v>0.0406</v>
      </c>
      <c r="J3" s="16" t="n">
        <v>0.05</v>
      </c>
      <c r="K3" s="16" t="n">
        <v>0.009400000000000006</v>
      </c>
      <c r="L3" s="9" t="inlineStr">
        <is>
          <t>红利低波ETF</t>
        </is>
      </c>
      <c r="M3" s="17" t="n">
        <v>196780</v>
      </c>
      <c r="N3" s="16" t="n">
        <v>0.1771691407066694</v>
      </c>
      <c r="O3" s="13" t="inlineStr">
        <is>
          <t>行情未刷新</t>
        </is>
      </c>
      <c r="P3" s="13" t="inlineStr">
        <is>
          <t>低波权益层</t>
        </is>
      </c>
      <c r="Q3" s="27" t="n"/>
      <c r="R3" s="13" t="n">
        <v>1</v>
      </c>
      <c r="S3" s="13" t="inlineStr">
        <is>
          <t>待确认</t>
        </is>
      </c>
      <c r="T3" s="9" t="inlineStr">
        <is>
          <t>低于目标，剩余 0.94%</t>
        </is>
      </c>
      <c r="U3" s="28" t="n">
        <v>1.115</v>
      </c>
      <c r="V3" s="29" t="n"/>
      <c r="W3" s="13" t="n"/>
      <c r="X3" s="29" t="n"/>
      <c r="Y3" s="13" t="inlineStr">
        <is>
          <t>缺少日内数据</t>
        </is>
      </c>
      <c r="Z3" s="9" t="inlineStr">
        <is>
          <t>缺少涨跌幅</t>
        </is>
      </c>
      <c r="AA3" s="13" t="inlineStr">
        <is>
          <t>量能替代：缺少成交额/20日均额</t>
        </is>
      </c>
      <c r="AB3" s="13" t="inlineStr">
        <is>
          <t>折溢价替代：缺少涨跌幅</t>
        </is>
      </c>
      <c r="AC3" s="13" t="inlineStr">
        <is>
          <t>待人工确认</t>
        </is>
      </c>
      <c r="AD3" s="9" t="inlineStr">
        <is>
          <t>待次日确认</t>
        </is>
      </c>
      <c r="AE3" s="9" t="inlineStr">
        <is>
          <t>无</t>
        </is>
      </c>
      <c r="AF3" s="9" t="inlineStr">
        <is>
          <t>无</t>
        </is>
      </c>
      <c r="AG3" s="9" t="inlineStr">
        <is>
          <t>分时结构；量价关系；份额/筹码；折溢价/估值；龙头同步；次日验证</t>
        </is>
      </c>
      <c r="AH3" s="14" t="inlineStr">
        <is>
          <t>是</t>
        </is>
      </c>
      <c r="AI3" s="9" t="inlineStr">
        <is>
          <t>缺少完整质量评分或证据，禁止新增</t>
        </is>
      </c>
      <c r="AJ3" s="16" t="n">
        <v>0.05</v>
      </c>
      <c r="AK3" s="17" t="n">
        <v>239150</v>
      </c>
      <c r="AL3" s="17" t="n">
        <v>42370</v>
      </c>
      <c r="AM3" s="9" t="inlineStr">
        <is>
          <t>配置中</t>
        </is>
      </c>
    </row>
    <row r="4" ht="38" customHeight="1">
      <c r="A4" s="18" t="inlineStr">
        <is>
          <t>红</t>
        </is>
      </c>
      <c r="B4" s="19" t="inlineStr">
        <is>
          <t>562500</t>
        </is>
      </c>
      <c r="C4" s="20" t="inlineStr">
        <is>
          <t>机器人ETF</t>
        </is>
      </c>
      <c r="D4" s="20" t="inlineStr">
        <is>
          <t>持有不加，禁止新增；低于目标，剩余 0.65%</t>
        </is>
      </c>
      <c r="E4" s="21" t="inlineStr">
        <is>
          <t>持有不加，禁止新增仓位</t>
        </is>
      </c>
      <c r="F4" s="21" t="n">
        <v>0</v>
      </c>
      <c r="G4" s="20" t="inlineStr">
        <is>
          <t>数据不足，需人工评分</t>
        </is>
      </c>
      <c r="H4" s="21" t="inlineStr">
        <is>
          <t>暂停标准新增</t>
        </is>
      </c>
      <c r="I4" s="22" t="n">
        <v>0.1335</v>
      </c>
      <c r="J4" s="22" t="n">
        <v>0.14</v>
      </c>
      <c r="K4" s="22" t="n">
        <v>0.006500000000000006</v>
      </c>
      <c r="L4" s="20" t="inlineStr">
        <is>
          <t>机器人ETF 562500</t>
        </is>
      </c>
      <c r="M4" s="23" t="n">
        <v>243180.8</v>
      </c>
      <c r="N4" s="22" t="n">
        <v>0.364465816433201</v>
      </c>
      <c r="O4" s="21" t="inlineStr">
        <is>
          <t>行情未刷新</t>
        </is>
      </c>
      <c r="P4" s="21" t="inlineStr">
        <is>
          <t>核心成长层</t>
        </is>
      </c>
      <c r="Q4" s="24" t="n"/>
      <c r="R4" s="21" t="n">
        <v>1</v>
      </c>
      <c r="S4" s="21" t="inlineStr">
        <is>
          <t>待确认</t>
        </is>
      </c>
      <c r="T4" s="20" t="inlineStr">
        <is>
          <t>低于目标，剩余 0.65%</t>
        </is>
      </c>
      <c r="U4" s="25" t="n">
        <v>1.168</v>
      </c>
      <c r="V4" s="26" t="n"/>
      <c r="W4" s="21" t="n"/>
      <c r="X4" s="26" t="n"/>
      <c r="Y4" s="21" t="inlineStr">
        <is>
          <t>缺少日内数据</t>
        </is>
      </c>
      <c r="Z4" s="20" t="inlineStr">
        <is>
          <t>缺少涨跌幅</t>
        </is>
      </c>
      <c r="AA4" s="21" t="inlineStr">
        <is>
          <t>量能替代：缺少成交额/20日均额</t>
        </is>
      </c>
      <c r="AB4" s="21" t="inlineStr">
        <is>
          <t>折溢价替代：缺少涨跌幅</t>
        </is>
      </c>
      <c r="AC4" s="21" t="inlineStr">
        <is>
          <t>待人工确认</t>
        </is>
      </c>
      <c r="AD4" s="20" t="inlineStr">
        <is>
          <t>待次日确认</t>
        </is>
      </c>
      <c r="AE4" s="20" t="inlineStr">
        <is>
          <t>无</t>
        </is>
      </c>
      <c r="AF4" s="20" t="inlineStr">
        <is>
          <t>无</t>
        </is>
      </c>
      <c r="AG4" s="20" t="inlineStr">
        <is>
          <t>分时结构；量价关系；份额/筹码；折溢价/估值；龙头同步；次日验证</t>
        </is>
      </c>
      <c r="AH4" s="14" t="inlineStr">
        <is>
          <t>是</t>
        </is>
      </c>
      <c r="AI4" s="20" t="inlineStr">
        <is>
          <t>持有不加，禁止新增仓位</t>
        </is>
      </c>
      <c r="AJ4" s="22" t="n">
        <v>0.08</v>
      </c>
      <c r="AK4" s="23" t="n">
        <v>382640</v>
      </c>
      <c r="AL4" s="23" t="n">
        <v>139459.2</v>
      </c>
      <c r="AM4" s="20" t="inlineStr">
        <is>
          <t>配置中</t>
        </is>
      </c>
    </row>
    <row r="5" ht="38" customHeight="1">
      <c r="A5" s="18" t="inlineStr">
        <is>
          <t>红</t>
        </is>
      </c>
      <c r="B5" s="15" t="inlineStr">
        <is>
          <t>159819</t>
        </is>
      </c>
      <c r="C5" s="9" t="inlineStr">
        <is>
          <t>人工智能ETF</t>
        </is>
      </c>
      <c r="D5" s="9" t="inlineStr">
        <is>
          <t>质量评分或证据不完整，先补评分，禁止新增</t>
        </is>
      </c>
      <c r="E5" s="13" t="inlineStr">
        <is>
          <t>缺少完整质量评分或证据，禁止新增</t>
        </is>
      </c>
      <c r="F5" s="13" t="n">
        <v>0</v>
      </c>
      <c r="G5" s="9" t="inlineStr">
        <is>
          <t>数据不足，需人工评分</t>
        </is>
      </c>
      <c r="H5" s="13" t="inlineStr">
        <is>
          <t>暂停标准新增</t>
        </is>
      </c>
      <c r="I5" s="16" t="n">
        <v>0</v>
      </c>
      <c r="J5" s="16" t="n">
        <v>0.005</v>
      </c>
      <c r="K5" s="16" t="n">
        <v>0.005</v>
      </c>
      <c r="L5" s="9" t="n"/>
      <c r="M5" s="17" t="n">
        <v/>
      </c>
      <c r="N5" s="16" t="n">
        <v/>
      </c>
      <c r="O5" s="13" t="inlineStr">
        <is>
          <t>行情未刷新</t>
        </is>
      </c>
      <c r="P5" s="13" t="inlineStr">
        <is>
          <t>观察仓</t>
        </is>
      </c>
      <c r="Q5" s="27" t="n"/>
      <c r="R5" s="13" t="n">
        <v>1</v>
      </c>
      <c r="S5" s="13" t="inlineStr">
        <is>
          <t>待确认</t>
        </is>
      </c>
      <c r="T5" s="9" t="inlineStr">
        <is>
          <t>低于目标，剩余 0.50%</t>
        </is>
      </c>
      <c r="U5" s="28" t="n">
        <v/>
      </c>
      <c r="V5" s="29" t="n"/>
      <c r="W5" s="13" t="n"/>
      <c r="X5" s="29" t="n"/>
      <c r="Y5" s="13" t="inlineStr">
        <is>
          <t>缺少日内数据</t>
        </is>
      </c>
      <c r="Z5" s="9" t="inlineStr">
        <is>
          <t>缺少涨跌幅</t>
        </is>
      </c>
      <c r="AA5" s="13" t="inlineStr">
        <is>
          <t>量能替代：缺少成交额/20日均额</t>
        </is>
      </c>
      <c r="AB5" s="13" t="inlineStr">
        <is>
          <t>折溢价替代：缺少涨跌幅</t>
        </is>
      </c>
      <c r="AC5" s="13" t="inlineStr">
        <is>
          <t>待人工确认</t>
        </is>
      </c>
      <c r="AD5" s="9" t="inlineStr">
        <is>
          <t>待次日确认</t>
        </is>
      </c>
      <c r="AE5" s="9" t="inlineStr">
        <is>
          <t>无</t>
        </is>
      </c>
      <c r="AF5" s="9" t="inlineStr">
        <is>
          <t>无</t>
        </is>
      </c>
      <c r="AG5" s="9" t="inlineStr">
        <is>
          <t>分时结构；量价关系；份额/筹码；折溢价/估值；龙头同步；次日验证</t>
        </is>
      </c>
      <c r="AH5" s="14" t="inlineStr">
        <is>
          <t>是</t>
        </is>
      </c>
      <c r="AI5" s="9" t="inlineStr">
        <is>
          <t>缺少完整质量评分或证据，禁止新增</t>
        </is>
      </c>
      <c r="AJ5" s="16" t="n">
        <v/>
      </c>
      <c r="AK5" s="17" t="n">
        <v/>
      </c>
      <c r="AL5" s="17" t="n">
        <v/>
      </c>
      <c r="AM5" s="9" t="n"/>
    </row>
    <row r="6" ht="38" customHeight="1">
      <c r="A6" s="18" t="inlineStr">
        <is>
          <t>红</t>
        </is>
      </c>
      <c r="B6" s="19" t="inlineStr">
        <is>
          <t>511180</t>
        </is>
      </c>
      <c r="C6" s="20" t="inlineStr">
        <is>
          <t>可转债ETF</t>
        </is>
      </c>
      <c r="D6" s="20" t="inlineStr">
        <is>
          <t>质量评分或证据不完整，先补评分，禁止新增</t>
        </is>
      </c>
      <c r="E6" s="21" t="inlineStr">
        <is>
          <t>缺少完整质量评分或证据，禁止新增</t>
        </is>
      </c>
      <c r="F6" s="21" t="n">
        <v>0</v>
      </c>
      <c r="G6" s="20" t="inlineStr">
        <is>
          <t>数据不足，需人工评分</t>
        </is>
      </c>
      <c r="H6" s="21" t="inlineStr">
        <is>
          <t>暂停标准新增</t>
        </is>
      </c>
      <c r="I6" s="22" t="n">
        <v>0.0369</v>
      </c>
      <c r="J6" s="22" t="n">
        <v>0.04</v>
      </c>
      <c r="K6" s="22" t="n">
        <v>0.003099999999999999</v>
      </c>
      <c r="L6" s="20" t="inlineStr">
        <is>
          <t>可转债ETF</t>
        </is>
      </c>
      <c r="M6" s="23" t="n">
        <v>439801</v>
      </c>
      <c r="N6" s="22" t="n">
        <v>0.08049132343717333</v>
      </c>
      <c r="O6" s="21" t="inlineStr">
        <is>
          <t>行情未刷新</t>
        </is>
      </c>
      <c r="P6" s="21" t="inlineStr">
        <is>
          <t>弹性低波层</t>
        </is>
      </c>
      <c r="Q6" s="24" t="n"/>
      <c r="R6" s="21" t="n">
        <v>1</v>
      </c>
      <c r="S6" s="21" t="inlineStr">
        <is>
          <t>待确认</t>
        </is>
      </c>
      <c r="T6" s="20" t="inlineStr">
        <is>
          <t>低于目标，剩余 0.31%</t>
        </is>
      </c>
      <c r="U6" s="25" t="n">
        <v>12.833</v>
      </c>
      <c r="V6" s="26" t="n"/>
      <c r="W6" s="21" t="n"/>
      <c r="X6" s="26" t="n"/>
      <c r="Y6" s="21" t="inlineStr">
        <is>
          <t>缺少日内数据</t>
        </is>
      </c>
      <c r="Z6" s="20" t="inlineStr">
        <is>
          <t>缺少涨跌幅</t>
        </is>
      </c>
      <c r="AA6" s="21" t="inlineStr">
        <is>
          <t>量能替代：缺少成交额/20日均额</t>
        </is>
      </c>
      <c r="AB6" s="21" t="inlineStr">
        <is>
          <t>折溢价替代：缺少涨跌幅</t>
        </is>
      </c>
      <c r="AC6" s="21" t="inlineStr">
        <is>
          <t>待人工确认</t>
        </is>
      </c>
      <c r="AD6" s="20" t="inlineStr">
        <is>
          <t>待次日确认</t>
        </is>
      </c>
      <c r="AE6" s="20" t="inlineStr">
        <is>
          <t>无</t>
        </is>
      </c>
      <c r="AF6" s="20" t="inlineStr">
        <is>
          <t>无</t>
        </is>
      </c>
      <c r="AG6" s="20" t="inlineStr">
        <is>
          <t>分时结构；量价关系；份额/筹码；折溢价/估值；龙头同步；次日验证</t>
        </is>
      </c>
      <c r="AH6" s="14" t="inlineStr">
        <is>
          <t>是</t>
        </is>
      </c>
      <c r="AI6" s="20" t="inlineStr">
        <is>
          <t>缺少完整质量评分或证据，禁止新增</t>
        </is>
      </c>
      <c r="AJ6" s="22" t="n">
        <v>0.1</v>
      </c>
      <c r="AK6" s="23" t="n">
        <v>478300</v>
      </c>
      <c r="AL6" s="23" t="n">
        <v>38499</v>
      </c>
      <c r="AM6" s="20" t="inlineStr">
        <is>
          <t>配置中</t>
        </is>
      </c>
    </row>
    <row r="7" ht="38" customHeight="1">
      <c r="A7" s="18" t="inlineStr">
        <is>
          <t>红</t>
        </is>
      </c>
      <c r="B7" s="15" t="inlineStr">
        <is>
          <t>159516</t>
        </is>
      </c>
      <c r="C7" s="9" t="inlineStr">
        <is>
          <t>半导体设备ETF</t>
        </is>
      </c>
      <c r="D7" s="9" t="inlineStr">
        <is>
          <t>超目标 0.80%，禁止加仓</t>
        </is>
      </c>
      <c r="E7" s="13" t="inlineStr">
        <is>
          <t>当前仓位已达或超过目标仓位</t>
        </is>
      </c>
      <c r="F7" s="13" t="n">
        <v>0</v>
      </c>
      <c r="G7" s="9" t="inlineStr">
        <is>
          <t>数据不足，需人工评分</t>
        </is>
      </c>
      <c r="H7" s="13" t="inlineStr">
        <is>
          <t>暂停标准新增</t>
        </is>
      </c>
      <c r="I7" s="16" t="n">
        <v>0.058</v>
      </c>
      <c r="J7" s="16" t="n">
        <v>0.05</v>
      </c>
      <c r="K7" s="16" t="n">
        <v>0</v>
      </c>
      <c r="L7" s="9" t="inlineStr">
        <is>
          <t>半导体设备ETF 159516</t>
        </is>
      </c>
      <c r="M7" s="17" t="n">
        <v>322000</v>
      </c>
      <c r="N7" s="16" t="n">
        <v>0.158477942713778</v>
      </c>
      <c r="O7" s="13" t="inlineStr">
        <is>
          <t>行情未刷新</t>
        </is>
      </c>
      <c r="P7" s="13" t="inlineStr">
        <is>
          <t>核心成长层</t>
        </is>
      </c>
      <c r="Q7" s="27" t="n"/>
      <c r="R7" s="13" t="n">
        <v>1</v>
      </c>
      <c r="S7" s="13" t="inlineStr">
        <is>
          <t>待确认</t>
        </is>
      </c>
      <c r="T7" s="9" t="inlineStr">
        <is>
          <t>超目标 0.80%</t>
        </is>
      </c>
      <c r="U7" s="28" t="n">
        <v>1.516</v>
      </c>
      <c r="V7" s="29" t="n"/>
      <c r="W7" s="13" t="n"/>
      <c r="X7" s="29" t="n"/>
      <c r="Y7" s="13" t="inlineStr">
        <is>
          <t>缺少日内数据</t>
        </is>
      </c>
      <c r="Z7" s="9" t="inlineStr">
        <is>
          <t>缺少涨跌幅</t>
        </is>
      </c>
      <c r="AA7" s="13" t="inlineStr">
        <is>
          <t>量能替代：缺少成交额/20日均额</t>
        </is>
      </c>
      <c r="AB7" s="13" t="inlineStr">
        <is>
          <t>折溢价替代：缺少涨跌幅</t>
        </is>
      </c>
      <c r="AC7" s="13" t="inlineStr">
        <is>
          <t>待人工确认</t>
        </is>
      </c>
      <c r="AD7" s="9" t="inlineStr">
        <is>
          <t>待次日确认</t>
        </is>
      </c>
      <c r="AE7" s="9" t="inlineStr">
        <is>
          <t>无</t>
        </is>
      </c>
      <c r="AF7" s="9" t="inlineStr">
        <is>
          <t>无</t>
        </is>
      </c>
      <c r="AG7" s="9" t="inlineStr">
        <is>
          <t>分时结构；量价关系；份额/筹码；折溢价/估值；龙头同步；次日验证</t>
        </is>
      </c>
      <c r="AH7" s="14" t="inlineStr">
        <is>
          <t>是</t>
        </is>
      </c>
      <c r="AI7" s="9" t="inlineStr">
        <is>
          <t>当前仓位已达或超过目标仓位</t>
        </is>
      </c>
      <c r="AJ7" s="16" t="n">
        <v>0.08</v>
      </c>
      <c r="AK7" s="17" t="n">
        <v>382640</v>
      </c>
      <c r="AL7" s="17" t="n">
        <v>60640</v>
      </c>
      <c r="AM7" s="9" t="inlineStr">
        <is>
          <t>配置中</t>
        </is>
      </c>
    </row>
    <row r="8" ht="38" customHeight="1">
      <c r="A8" s="18" t="inlineStr">
        <is>
          <t>红</t>
        </is>
      </c>
      <c r="B8" s="19" t="inlineStr">
        <is>
          <t>159381</t>
        </is>
      </c>
      <c r="C8" s="20" t="inlineStr">
        <is>
          <t>创业板人工智能ETF</t>
        </is>
      </c>
      <c r="D8" s="20" t="inlineStr">
        <is>
          <t>超目标 0.07%，禁止加仓</t>
        </is>
      </c>
      <c r="E8" s="21" t="inlineStr">
        <is>
          <t>当前仓位已达或超过目标仓位</t>
        </is>
      </c>
      <c r="F8" s="21" t="n">
        <v>0</v>
      </c>
      <c r="G8" s="20" t="inlineStr">
        <is>
          <t>数据不足，需人工评分</t>
        </is>
      </c>
      <c r="H8" s="21" t="inlineStr">
        <is>
          <t>暂停标准新增</t>
        </is>
      </c>
      <c r="I8" s="22" t="n">
        <v>0.0207</v>
      </c>
      <c r="J8" s="22" t="n">
        <v>0.02</v>
      </c>
      <c r="K8" s="22" t="n">
        <v>0</v>
      </c>
      <c r="L8" s="20" t="inlineStr">
        <is>
          <t>创业板人工智能ETF 159381</t>
        </is>
      </c>
      <c r="M8" s="23" t="n">
        <v>265305</v>
      </c>
      <c r="N8" s="22" t="n">
        <v>0.07552791135270751</v>
      </c>
      <c r="O8" s="21" t="inlineStr">
        <is>
          <t>行情未刷新</t>
        </is>
      </c>
      <c r="P8" s="21" t="inlineStr">
        <is>
          <t>观察仓</t>
        </is>
      </c>
      <c r="Q8" s="24" t="n"/>
      <c r="R8" s="21" t="n">
        <v>1</v>
      </c>
      <c r="S8" s="21" t="inlineStr">
        <is>
          <t>待确认</t>
        </is>
      </c>
      <c r="T8" s="20" t="inlineStr">
        <is>
          <t>超目标 0.07%</t>
        </is>
      </c>
      <c r="U8" s="25" t="n">
        <v>1.445</v>
      </c>
      <c r="V8" s="26" t="n"/>
      <c r="W8" s="21" t="n"/>
      <c r="X8" s="26" t="n"/>
      <c r="Y8" s="21" t="inlineStr">
        <is>
          <t>缺少日内数据</t>
        </is>
      </c>
      <c r="Z8" s="20" t="inlineStr">
        <is>
          <t>缺少涨跌幅</t>
        </is>
      </c>
      <c r="AA8" s="21" t="inlineStr">
        <is>
          <t>量能替代：缺少成交额/20日均额</t>
        </is>
      </c>
      <c r="AB8" s="21" t="inlineStr">
        <is>
          <t>折溢价替代：缺少涨跌幅</t>
        </is>
      </c>
      <c r="AC8" s="21" t="inlineStr">
        <is>
          <t>待人工确认</t>
        </is>
      </c>
      <c r="AD8" s="20" t="inlineStr">
        <is>
          <t>待次日确认</t>
        </is>
      </c>
      <c r="AE8" s="20" t="inlineStr">
        <is>
          <t>无</t>
        </is>
      </c>
      <c r="AF8" s="20" t="inlineStr">
        <is>
          <t>无</t>
        </is>
      </c>
      <c r="AG8" s="20" t="inlineStr">
        <is>
          <t>分时结构；量价关系；份额/筹码；折溢价/估值；龙头同步；次日验证</t>
        </is>
      </c>
      <c r="AH8" s="14" t="inlineStr">
        <is>
          <t>是</t>
        </is>
      </c>
      <c r="AI8" s="20" t="inlineStr">
        <is>
          <t>当前仓位已达或超过目标仓位</t>
        </is>
      </c>
      <c r="AJ8" s="22" t="n">
        <v>0.06</v>
      </c>
      <c r="AK8" s="23" t="n">
        <v>286980</v>
      </c>
      <c r="AL8" s="23" t="n">
        <v>21675</v>
      </c>
      <c r="AM8" s="20" t="inlineStr">
        <is>
          <t>配置中</t>
        </is>
      </c>
    </row>
    <row r="9" ht="38" customHeight="1">
      <c r="A9" s="18" t="inlineStr">
        <is>
          <t>红</t>
        </is>
      </c>
      <c r="B9" s="15" t="inlineStr">
        <is>
          <t>516630</t>
        </is>
      </c>
      <c r="C9" s="9" t="inlineStr">
        <is>
          <t>云计算ETF</t>
        </is>
      </c>
      <c r="D9" s="9" t="inlineStr">
        <is>
          <t>超目标 3.06%，禁止加仓</t>
        </is>
      </c>
      <c r="E9" s="13" t="inlineStr">
        <is>
          <t>当前仓位已达或超过目标仓位</t>
        </is>
      </c>
      <c r="F9" s="13" t="n">
        <v>0</v>
      </c>
      <c r="G9" s="9" t="inlineStr">
        <is>
          <t>数据不足，需人工评分</t>
        </is>
      </c>
      <c r="H9" s="13" t="inlineStr">
        <is>
          <t>暂停标准新增</t>
        </is>
      </c>
      <c r="I9" s="16" t="n">
        <v>0.0606</v>
      </c>
      <c r="J9" s="16" t="n">
        <v>0.03</v>
      </c>
      <c r="K9" s="16" t="n">
        <v>0</v>
      </c>
      <c r="L9" s="9" t="inlineStr">
        <is>
          <t>云计算ETF</t>
        </is>
      </c>
      <c r="M9" s="17" t="n">
        <v>80146</v>
      </c>
      <c r="N9" s="16" t="n">
        <v>0.4414523660185379</v>
      </c>
      <c r="O9" s="13" t="inlineStr">
        <is>
          <t>行情未刷新</t>
        </is>
      </c>
      <c r="P9" s="13" t="inlineStr">
        <is>
          <t>战术仓</t>
        </is>
      </c>
      <c r="Q9" s="27" t="n"/>
      <c r="R9" s="13" t="n">
        <v>1</v>
      </c>
      <c r="S9" s="13" t="inlineStr">
        <is>
          <t>待确认</t>
        </is>
      </c>
      <c r="T9" s="9" t="inlineStr">
        <is>
          <t>超目标 3.06%</t>
        </is>
      </c>
      <c r="U9" s="28" t="n">
        <v>1.712</v>
      </c>
      <c r="V9" s="29" t="n"/>
      <c r="W9" s="13" t="n"/>
      <c r="X9" s="29" t="n"/>
      <c r="Y9" s="13" t="inlineStr">
        <is>
          <t>缺少日内数据</t>
        </is>
      </c>
      <c r="Z9" s="9" t="inlineStr">
        <is>
          <t>缺少涨跌幅</t>
        </is>
      </c>
      <c r="AA9" s="13" t="inlineStr">
        <is>
          <t>量能替代：缺少成交额/20日均额</t>
        </is>
      </c>
      <c r="AB9" s="13" t="inlineStr">
        <is>
          <t>折溢价替代：缺少涨跌幅</t>
        </is>
      </c>
      <c r="AC9" s="13" t="inlineStr">
        <is>
          <t>待人工确认</t>
        </is>
      </c>
      <c r="AD9" s="9" t="inlineStr">
        <is>
          <t>待次日确认</t>
        </is>
      </c>
      <c r="AE9" s="9" t="inlineStr">
        <is>
          <t>无</t>
        </is>
      </c>
      <c r="AF9" s="9" t="inlineStr">
        <is>
          <t>无</t>
        </is>
      </c>
      <c r="AG9" s="9" t="inlineStr">
        <is>
          <t>分时结构；量价关系；份额/筹码；折溢价/估值；龙头同步；次日验证</t>
        </is>
      </c>
      <c r="AH9" s="14" t="inlineStr">
        <is>
          <t>是</t>
        </is>
      </c>
      <c r="AI9" s="9" t="inlineStr">
        <is>
          <t>当前仓位已达或超过目标仓位</t>
        </is>
      </c>
      <c r="AJ9" s="16" t="n">
        <v>0.03</v>
      </c>
      <c r="AK9" s="17" t="n">
        <v>143490</v>
      </c>
      <c r="AL9" s="17" t="n">
        <v>63344</v>
      </c>
      <c r="AM9" s="9" t="inlineStr">
        <is>
          <t>配置中</t>
        </is>
      </c>
    </row>
    <row r="10" ht="38" customHeight="1">
      <c r="A10" s="18" t="inlineStr">
        <is>
          <t>红</t>
        </is>
      </c>
      <c r="B10" s="19" t="inlineStr">
        <is>
          <t>159338</t>
        </is>
      </c>
      <c r="C10" s="20" t="inlineStr">
        <is>
          <t>中证A500ETF</t>
        </is>
      </c>
      <c r="D10" s="20" t="inlineStr">
        <is>
          <t>超目标 1.02%，禁止加仓</t>
        </is>
      </c>
      <c r="E10" s="21" t="inlineStr">
        <is>
          <t>当前仓位已达或超过目标仓位</t>
        </is>
      </c>
      <c r="F10" s="21" t="n">
        <v>0</v>
      </c>
      <c r="G10" s="20" t="inlineStr">
        <is>
          <t>数据不足，需人工评分</t>
        </is>
      </c>
      <c r="H10" s="21" t="inlineStr">
        <is>
          <t>暂停标准新增</t>
        </is>
      </c>
      <c r="I10" s="22" t="n">
        <v>0.0702</v>
      </c>
      <c r="J10" s="22" t="n">
        <v>0.06</v>
      </c>
      <c r="K10" s="22" t="n">
        <v>0</v>
      </c>
      <c r="L10" s="20" t="inlineStr">
        <is>
          <t>中证A500ETF</t>
        </is>
      </c>
      <c r="M10" s="23" t="n">
        <v>273365.8</v>
      </c>
      <c r="N10" s="22" t="n">
        <v>0.285579657118963</v>
      </c>
      <c r="O10" s="21" t="inlineStr">
        <is>
          <t>行情未刷新</t>
        </is>
      </c>
      <c r="P10" s="21" t="inlineStr">
        <is>
          <t>低波权益层</t>
        </is>
      </c>
      <c r="Q10" s="24" t="n"/>
      <c r="R10" s="21" t="n">
        <v>1</v>
      </c>
      <c r="S10" s="21" t="inlineStr">
        <is>
          <t>待确认</t>
        </is>
      </c>
      <c r="T10" s="20" t="inlineStr">
        <is>
          <t>超目标 1.02%</t>
        </is>
      </c>
      <c r="U10" s="25" t="n">
        <v>1.323</v>
      </c>
      <c r="V10" s="26" t="n"/>
      <c r="W10" s="21" t="n"/>
      <c r="X10" s="26" t="n"/>
      <c r="Y10" s="21" t="inlineStr">
        <is>
          <t>缺少日内数据</t>
        </is>
      </c>
      <c r="Z10" s="20" t="inlineStr">
        <is>
          <t>缺少涨跌幅</t>
        </is>
      </c>
      <c r="AA10" s="21" t="inlineStr">
        <is>
          <t>量能替代：缺少成交额/20日均额</t>
        </is>
      </c>
      <c r="AB10" s="21" t="inlineStr">
        <is>
          <t>折溢价替代：缺少涨跌幅</t>
        </is>
      </c>
      <c r="AC10" s="21" t="inlineStr">
        <is>
          <t>待人工确认</t>
        </is>
      </c>
      <c r="AD10" s="20" t="inlineStr">
        <is>
          <t>待次日确认</t>
        </is>
      </c>
      <c r="AE10" s="20" t="inlineStr">
        <is>
          <t>无</t>
        </is>
      </c>
      <c r="AF10" s="20" t="inlineStr">
        <is>
          <t>无</t>
        </is>
      </c>
      <c r="AG10" s="20" t="inlineStr">
        <is>
          <t>分时结构；量价关系；份额/筹码；折溢价/估值；龙头同步；次日验证</t>
        </is>
      </c>
      <c r="AH10" s="14" t="inlineStr">
        <is>
          <t>是</t>
        </is>
      </c>
      <c r="AI10" s="20" t="inlineStr">
        <is>
          <t>当前仓位已达或超过目标仓位</t>
        </is>
      </c>
      <c r="AJ10" s="22" t="n">
        <v>0.08</v>
      </c>
      <c r="AK10" s="23" t="n">
        <v>382640</v>
      </c>
      <c r="AL10" s="23" t="n">
        <v>109274.2</v>
      </c>
      <c r="AM10" s="20" t="inlineStr">
        <is>
          <t>配置中</t>
        </is>
      </c>
    </row>
    <row r="11" ht="38" customHeight="1">
      <c r="A11" s="18" t="inlineStr">
        <is>
          <t>红</t>
        </is>
      </c>
      <c r="B11" s="15" t="inlineStr">
        <is>
          <t>511010</t>
        </is>
      </c>
      <c r="C11" s="9" t="inlineStr">
        <is>
          <t>国债ETF</t>
        </is>
      </c>
      <c r="D11" s="9" t="inlineStr">
        <is>
          <t>超目标 1.41%，禁止加仓</t>
        </is>
      </c>
      <c r="E11" s="13" t="inlineStr">
        <is>
          <t>当前仓位已达或超过目标仓位</t>
        </is>
      </c>
      <c r="F11" s="13" t="n">
        <v>0</v>
      </c>
      <c r="G11" s="9" t="inlineStr">
        <is>
          <t>数据不足，需人工评分</t>
        </is>
      </c>
      <c r="H11" s="13" t="inlineStr">
        <is>
          <t>暂停标准新增</t>
        </is>
      </c>
      <c r="I11" s="16" t="n">
        <v>0.0541</v>
      </c>
      <c r="J11" s="16" t="n">
        <v>0.04</v>
      </c>
      <c r="K11" s="16" t="n">
        <v>0</v>
      </c>
      <c r="L11" s="9" t="n"/>
      <c r="M11" s="17" t="n">
        <v/>
      </c>
      <c r="N11" s="16" t="n">
        <v/>
      </c>
      <c r="O11" s="13" t="inlineStr">
        <is>
          <t>行情未刷新</t>
        </is>
      </c>
      <c r="P11" s="13" t="inlineStr">
        <is>
          <t>纯防御层</t>
        </is>
      </c>
      <c r="Q11" s="27" t="n"/>
      <c r="R11" s="13" t="n">
        <v>1</v>
      </c>
      <c r="S11" s="13" t="inlineStr">
        <is>
          <t>待确认</t>
        </is>
      </c>
      <c r="T11" s="9" t="inlineStr">
        <is>
          <t>超目标 1.41%</t>
        </is>
      </c>
      <c r="U11" s="28" t="n">
        <v>141.388</v>
      </c>
      <c r="V11" s="29" t="n"/>
      <c r="W11" s="13" t="n"/>
      <c r="X11" s="29" t="n"/>
      <c r="Y11" s="13" t="inlineStr">
        <is>
          <t>缺少日内数据</t>
        </is>
      </c>
      <c r="Z11" s="9" t="inlineStr">
        <is>
          <t>缺少涨跌幅</t>
        </is>
      </c>
      <c r="AA11" s="13" t="inlineStr">
        <is>
          <t>量能替代：缺少成交额/20日均额</t>
        </is>
      </c>
      <c r="AB11" s="13" t="inlineStr">
        <is>
          <t>折溢价替代：缺少涨跌幅</t>
        </is>
      </c>
      <c r="AC11" s="13" t="inlineStr">
        <is>
          <t>待人工确认</t>
        </is>
      </c>
      <c r="AD11" s="9" t="inlineStr">
        <is>
          <t>待次日确认</t>
        </is>
      </c>
      <c r="AE11" s="9" t="inlineStr">
        <is>
          <t>无</t>
        </is>
      </c>
      <c r="AF11" s="9" t="inlineStr">
        <is>
          <t>无</t>
        </is>
      </c>
      <c r="AG11" s="9" t="inlineStr">
        <is>
          <t>分时结构；量价关系；份额/筹码；折溢价/估值；龙头同步；次日验证</t>
        </is>
      </c>
      <c r="AH11" s="14" t="inlineStr">
        <is>
          <t>是</t>
        </is>
      </c>
      <c r="AI11" s="9" t="inlineStr">
        <is>
          <t>当前仓位已达或超过目标仓位</t>
        </is>
      </c>
      <c r="AJ11" s="16" t="n">
        <v/>
      </c>
      <c r="AK11" s="17" t="n">
        <v/>
      </c>
      <c r="AL11" s="17" t="n">
        <v/>
      </c>
      <c r="AM11" s="9" t="n"/>
    </row>
    <row r="12" ht="38" customHeight="1">
      <c r="A12" s="18" t="inlineStr">
        <is>
          <t>红</t>
        </is>
      </c>
      <c r="B12" s="19" t="inlineStr">
        <is>
          <t>002594</t>
        </is>
      </c>
      <c r="C12" s="20" t="inlineStr">
        <is>
          <t>比亚迪</t>
        </is>
      </c>
      <c r="D12" s="20" t="inlineStr">
        <is>
          <t>遗留仓禁止新买；超目标 4.33%</t>
        </is>
      </c>
      <c r="E12" s="21" t="inlineStr">
        <is>
          <t>遗留仓禁止新买，按减仓/退出纪律处理</t>
        </is>
      </c>
      <c r="F12" s="21" t="n">
        <v>0</v>
      </c>
      <c r="G12" s="20" t="inlineStr">
        <is>
          <t>数据不足，需人工评分</t>
        </is>
      </c>
      <c r="H12" s="21" t="inlineStr">
        <is>
          <t>暂停标准新增</t>
        </is>
      </c>
      <c r="I12" s="22" t="n">
        <v>0.09329999999999999</v>
      </c>
      <c r="J12" s="22" t="n">
        <v>0.05</v>
      </c>
      <c r="K12" s="22" t="n">
        <v>0</v>
      </c>
      <c r="L12" s="20" t="inlineStr">
        <is>
          <t>比亚迪+绿电+储能</t>
        </is>
      </c>
      <c r="M12" s="23" t="n">
        <v>-48452.39999999999</v>
      </c>
      <c r="N12" s="22" t="n">
        <v>1.337670917833995</v>
      </c>
      <c r="O12" s="21" t="inlineStr">
        <is>
          <t>行情未刷新</t>
        </is>
      </c>
      <c r="P12" s="21" t="inlineStr">
        <is>
          <t>遗留仓</t>
        </is>
      </c>
      <c r="Q12" s="24" t="n"/>
      <c r="R12" s="21" t="n">
        <v>1</v>
      </c>
      <c r="S12" s="21" t="inlineStr">
        <is>
          <t>待确认</t>
        </is>
      </c>
      <c r="T12" s="20" t="inlineStr">
        <is>
          <t>超目标 4.33%</t>
        </is>
      </c>
      <c r="U12" s="25" t="n">
        <v>88.64</v>
      </c>
      <c r="V12" s="26" t="n"/>
      <c r="W12" s="21" t="n"/>
      <c r="X12" s="26" t="n"/>
      <c r="Y12" s="21" t="inlineStr">
        <is>
          <t>缺少日内数据</t>
        </is>
      </c>
      <c r="Z12" s="20" t="inlineStr">
        <is>
          <t>缺少涨跌幅</t>
        </is>
      </c>
      <c r="AA12" s="21" t="inlineStr">
        <is>
          <t>量能替代：缺少成交额/20日均额</t>
        </is>
      </c>
      <c r="AB12" s="21" t="inlineStr">
        <is>
          <t>折溢价替代：缺少涨跌幅</t>
        </is>
      </c>
      <c r="AC12" s="21" t="inlineStr">
        <is>
          <t>待人工确认</t>
        </is>
      </c>
      <c r="AD12" s="20" t="inlineStr">
        <is>
          <t>待次日确认</t>
        </is>
      </c>
      <c r="AE12" s="20" t="inlineStr">
        <is>
          <t>无</t>
        </is>
      </c>
      <c r="AF12" s="20" t="inlineStr">
        <is>
          <t>无</t>
        </is>
      </c>
      <c r="AG12" s="20" t="inlineStr">
        <is>
          <t>分时结构；量价关系；份额/筹码；折溢价/估值；龙头同步；次日验证</t>
        </is>
      </c>
      <c r="AH12" s="14" t="inlineStr">
        <is>
          <t>是</t>
        </is>
      </c>
      <c r="AI12" s="20" t="inlineStr">
        <is>
          <t>遗留仓禁止新买，按减仓/退出纪律处理</t>
        </is>
      </c>
      <c r="AJ12" s="22" t="n">
        <v>0.03</v>
      </c>
      <c r="AK12" s="23" t="n">
        <v>143490</v>
      </c>
      <c r="AL12" s="23" t="n">
        <v>191942.4</v>
      </c>
      <c r="AM12" s="20" t="inlineStr">
        <is>
          <t>达到或超过年度目标</t>
        </is>
      </c>
    </row>
    <row r="13" ht="38" customHeight="1">
      <c r="A13" s="18" t="inlineStr">
        <is>
          <t>红</t>
        </is>
      </c>
      <c r="B13" s="15" t="inlineStr">
        <is>
          <t>688083</t>
        </is>
      </c>
      <c r="C13" s="9" t="inlineStr">
        <is>
          <t>中望软件</t>
        </is>
      </c>
      <c r="D13" s="9" t="inlineStr">
        <is>
          <t>遗留仓禁止新买；超目标 3.29%</t>
        </is>
      </c>
      <c r="E13" s="13" t="inlineStr">
        <is>
          <t>遗留仓禁止新买，按减仓/退出纪律处理</t>
        </is>
      </c>
      <c r="F13" s="13" t="n">
        <v>0</v>
      </c>
      <c r="G13" s="9" t="inlineStr">
        <is>
          <t>数据不足，需人工评分</t>
        </is>
      </c>
      <c r="H13" s="13" t="inlineStr">
        <is>
          <t>暂停标准新增</t>
        </is>
      </c>
      <c r="I13" s="16" t="n">
        <v>0.0529</v>
      </c>
      <c r="J13" s="16" t="n">
        <v>0.02</v>
      </c>
      <c r="K13" s="16" t="n">
        <v>0</v>
      </c>
      <c r="L13" s="9" t="n"/>
      <c r="M13" s="17" t="n">
        <v/>
      </c>
      <c r="N13" s="16" t="n">
        <v/>
      </c>
      <c r="O13" s="13" t="inlineStr">
        <is>
          <t>行情未刷新</t>
        </is>
      </c>
      <c r="P13" s="13" t="inlineStr">
        <is>
          <t>遗留仓</t>
        </is>
      </c>
      <c r="Q13" s="27" t="n"/>
      <c r="R13" s="13" t="n">
        <v>1</v>
      </c>
      <c r="S13" s="13" t="inlineStr">
        <is>
          <t>待确认</t>
        </is>
      </c>
      <c r="T13" s="9" t="inlineStr">
        <is>
          <t>超目标 3.29%</t>
        </is>
      </c>
      <c r="U13" s="28" t="n">
        <v>65.26000000000001</v>
      </c>
      <c r="V13" s="29" t="n"/>
      <c r="W13" s="13" t="n"/>
      <c r="X13" s="29" t="n"/>
      <c r="Y13" s="13" t="inlineStr">
        <is>
          <t>缺少日内数据</t>
        </is>
      </c>
      <c r="Z13" s="9" t="inlineStr">
        <is>
          <t>缺少涨跌幅</t>
        </is>
      </c>
      <c r="AA13" s="13" t="inlineStr">
        <is>
          <t>量能替代：缺少成交额/20日均额</t>
        </is>
      </c>
      <c r="AB13" s="13" t="inlineStr">
        <is>
          <t>折溢价替代：缺少涨跌幅</t>
        </is>
      </c>
      <c r="AC13" s="13" t="inlineStr">
        <is>
          <t>待人工确认</t>
        </is>
      </c>
      <c r="AD13" s="9" t="inlineStr">
        <is>
          <t>待次日确认</t>
        </is>
      </c>
      <c r="AE13" s="9" t="inlineStr">
        <is>
          <t>无</t>
        </is>
      </c>
      <c r="AF13" s="9" t="inlineStr">
        <is>
          <t>无</t>
        </is>
      </c>
      <c r="AG13" s="9" t="inlineStr">
        <is>
          <t>分时结构；量价关系；份额/筹码；折溢价/估值；龙头同步；次日验证</t>
        </is>
      </c>
      <c r="AH13" s="14" t="inlineStr">
        <is>
          <t>是</t>
        </is>
      </c>
      <c r="AI13" s="9" t="inlineStr">
        <is>
          <t>遗留仓禁止新买，按减仓/退出纪律处理</t>
        </is>
      </c>
      <c r="AJ13" s="16" t="n">
        <v/>
      </c>
      <c r="AK13" s="17" t="n">
        <v/>
      </c>
      <c r="AL13" s="17" t="n">
        <v/>
      </c>
      <c r="AM13" s="9" t="n"/>
    </row>
    <row r="14" ht="38" customHeight="1">
      <c r="A14" s="18" t="inlineStr">
        <is>
          <t>红</t>
        </is>
      </c>
      <c r="B14" s="19" t="inlineStr">
        <is>
          <t>562550</t>
        </is>
      </c>
      <c r="C14" s="20" t="inlineStr">
        <is>
          <t>绿电ETF</t>
        </is>
      </c>
      <c r="D14" s="20" t="inlineStr">
        <is>
          <t>遗留仓禁止新买；超目标 1.56%</t>
        </is>
      </c>
      <c r="E14" s="21" t="inlineStr">
        <is>
          <t>遗留仓禁止新买，按减仓/退出纪律处理</t>
        </is>
      </c>
      <c r="F14" s="21" t="n">
        <v>0</v>
      </c>
      <c r="G14" s="20" t="inlineStr">
        <is>
          <t>数据不足，需人工评分</t>
        </is>
      </c>
      <c r="H14" s="21" t="inlineStr">
        <is>
          <t>暂停标准新增</t>
        </is>
      </c>
      <c r="I14" s="22" t="n">
        <v>0.0456</v>
      </c>
      <c r="J14" s="22" t="n">
        <v>0.03</v>
      </c>
      <c r="K14" s="22" t="n">
        <v>0</v>
      </c>
      <c r="L14" s="20" t="inlineStr">
        <is>
          <t>比亚迪+绿电+储能</t>
        </is>
      </c>
      <c r="M14" s="23" t="n">
        <v>-48452.39999999999</v>
      </c>
      <c r="N14" s="22" t="n">
        <v>1.337670917833995</v>
      </c>
      <c r="O14" s="21" t="inlineStr">
        <is>
          <t>行情未刷新</t>
        </is>
      </c>
      <c r="P14" s="21" t="inlineStr">
        <is>
          <t>遗留仓</t>
        </is>
      </c>
      <c r="Q14" s="24" t="n"/>
      <c r="R14" s="21" t="n">
        <v>1</v>
      </c>
      <c r="S14" s="21" t="inlineStr">
        <is>
          <t>待确认</t>
        </is>
      </c>
      <c r="T14" s="20" t="inlineStr">
        <is>
          <t>超目标 1.56%</t>
        </is>
      </c>
      <c r="U14" s="25" t="n">
        <v>1.19</v>
      </c>
      <c r="V14" s="26" t="n"/>
      <c r="W14" s="21" t="n"/>
      <c r="X14" s="26" t="n"/>
      <c r="Y14" s="21" t="inlineStr">
        <is>
          <t>缺少日内数据</t>
        </is>
      </c>
      <c r="Z14" s="20" t="inlineStr">
        <is>
          <t>缺少涨跌幅</t>
        </is>
      </c>
      <c r="AA14" s="21" t="inlineStr">
        <is>
          <t>量能替代：缺少成交额/20日均额</t>
        </is>
      </c>
      <c r="AB14" s="21" t="inlineStr">
        <is>
          <t>折溢价替代：缺少涨跌幅</t>
        </is>
      </c>
      <c r="AC14" s="21" t="inlineStr">
        <is>
          <t>待人工确认</t>
        </is>
      </c>
      <c r="AD14" s="20" t="inlineStr">
        <is>
          <t>待次日确认</t>
        </is>
      </c>
      <c r="AE14" s="20" t="inlineStr">
        <is>
          <t>无</t>
        </is>
      </c>
      <c r="AF14" s="20" t="inlineStr">
        <is>
          <t>无</t>
        </is>
      </c>
      <c r="AG14" s="20" t="inlineStr">
        <is>
          <t>分时结构；量价关系；份额/筹码；折溢价/估值；龙头同步；次日验证</t>
        </is>
      </c>
      <c r="AH14" s="14" t="inlineStr">
        <is>
          <t>是</t>
        </is>
      </c>
      <c r="AI14" s="20" t="inlineStr">
        <is>
          <t>遗留仓禁止新买，按减仓/退出纪律处理</t>
        </is>
      </c>
      <c r="AJ14" s="22" t="n">
        <v>0.03</v>
      </c>
      <c r="AK14" s="23" t="n">
        <v>143490</v>
      </c>
      <c r="AL14" s="23" t="n">
        <v>191942.4</v>
      </c>
      <c r="AM14" s="20" t="inlineStr">
        <is>
          <t>达到或超过年度目标</t>
        </is>
      </c>
    </row>
    <row r="15" ht="38" customHeight="1">
      <c r="A15" s="18" t="inlineStr">
        <is>
          <t>红</t>
        </is>
      </c>
      <c r="B15" s="15" t="inlineStr">
        <is>
          <t>159566</t>
        </is>
      </c>
      <c r="C15" s="9" t="inlineStr">
        <is>
          <t>储能电池ETF</t>
        </is>
      </c>
      <c r="D15" s="9" t="inlineStr">
        <is>
          <t>遗留仓禁止新买；超目标 2.48%</t>
        </is>
      </c>
      <c r="E15" s="13" t="inlineStr">
        <is>
          <t>遗留仓禁止新买，按减仓/退出纪律处理</t>
        </is>
      </c>
      <c r="F15" s="13" t="n">
        <v>0</v>
      </c>
      <c r="G15" s="9" t="inlineStr">
        <is>
          <t>数据不足，需人工评分</t>
        </is>
      </c>
      <c r="H15" s="13" t="inlineStr">
        <is>
          <t>暂停标准新增</t>
        </is>
      </c>
      <c r="I15" s="16" t="n">
        <v>0.0448</v>
      </c>
      <c r="J15" s="16" t="n">
        <v>0.02</v>
      </c>
      <c r="K15" s="16" t="n">
        <v>0</v>
      </c>
      <c r="L15" s="9" t="inlineStr">
        <is>
          <t>比亚迪+绿电+储能</t>
        </is>
      </c>
      <c r="M15" s="17" t="n">
        <v>-48452.39999999999</v>
      </c>
      <c r="N15" s="16" t="n">
        <v>1.337670917833995</v>
      </c>
      <c r="O15" s="13" t="inlineStr">
        <is>
          <t>行情未刷新</t>
        </is>
      </c>
      <c r="P15" s="13" t="inlineStr">
        <is>
          <t>遗留仓</t>
        </is>
      </c>
      <c r="Q15" s="27" t="n"/>
      <c r="R15" s="13" t="n">
        <v>1</v>
      </c>
      <c r="S15" s="13" t="inlineStr">
        <is>
          <t>待确认</t>
        </is>
      </c>
      <c r="T15" s="9" t="inlineStr">
        <is>
          <t>超目标 2.48%</t>
        </is>
      </c>
      <c r="U15" s="28" t="n">
        <v>2.296</v>
      </c>
      <c r="V15" s="29" t="n"/>
      <c r="W15" s="13" t="n"/>
      <c r="X15" s="29" t="n"/>
      <c r="Y15" s="13" t="inlineStr">
        <is>
          <t>缺少日内数据</t>
        </is>
      </c>
      <c r="Z15" s="9" t="inlineStr">
        <is>
          <t>缺少涨跌幅</t>
        </is>
      </c>
      <c r="AA15" s="13" t="inlineStr">
        <is>
          <t>量能替代：缺少成交额/20日均额</t>
        </is>
      </c>
      <c r="AB15" s="13" t="inlineStr">
        <is>
          <t>折溢价替代：缺少涨跌幅</t>
        </is>
      </c>
      <c r="AC15" s="13" t="inlineStr">
        <is>
          <t>待人工确认</t>
        </is>
      </c>
      <c r="AD15" s="9" t="inlineStr">
        <is>
          <t>待次日确认</t>
        </is>
      </c>
      <c r="AE15" s="9" t="inlineStr">
        <is>
          <t>无</t>
        </is>
      </c>
      <c r="AF15" s="9" t="inlineStr">
        <is>
          <t>无</t>
        </is>
      </c>
      <c r="AG15" s="9" t="inlineStr">
        <is>
          <t>分时结构；量价关系；份额/筹码；折溢价/估值；龙头同步；次日验证</t>
        </is>
      </c>
      <c r="AH15" s="14" t="inlineStr">
        <is>
          <t>是</t>
        </is>
      </c>
      <c r="AI15" s="9" t="inlineStr">
        <is>
          <t>遗留仓禁止新买，按减仓/退出纪律处理</t>
        </is>
      </c>
      <c r="AJ15" s="16" t="n">
        <v>0.03</v>
      </c>
      <c r="AK15" s="17" t="n">
        <v>143490</v>
      </c>
      <c r="AL15" s="17" t="n">
        <v>191942.4</v>
      </c>
      <c r="AM15" s="9" t="inlineStr">
        <is>
          <t>达到或超过年度目标</t>
        </is>
      </c>
    </row>
    <row r="16" ht="38" customHeight="1">
      <c r="A16" s="18" t="inlineStr">
        <is>
          <t>红</t>
        </is>
      </c>
      <c r="B16" s="19" t="inlineStr">
        <is>
          <t>000001.SH</t>
        </is>
      </c>
      <c r="C16" s="20" t="inlineStr">
        <is>
          <t>上证综指</t>
        </is>
      </c>
      <c r="D16" s="20" t="inlineStr">
        <is>
          <t>指数锚点，仅观察，不执行买入</t>
        </is>
      </c>
      <c r="E16" s="21" t="inlineStr">
        <is>
          <t>指数仅作市场锚点，不执行买入</t>
        </is>
      </c>
      <c r="F16" s="21" t="n">
        <v>0</v>
      </c>
      <c r="G16" s="20" t="inlineStr">
        <is>
          <t>不适用</t>
        </is>
      </c>
      <c r="H16" s="21" t="inlineStr">
        <is>
          <t>暂停标准新增</t>
        </is>
      </c>
      <c r="I16" s="22" t="n">
        <v/>
      </c>
      <c r="J16" s="22" t="n">
        <v/>
      </c>
      <c r="K16" s="22" t="n">
        <v/>
      </c>
      <c r="L16" s="20" t="n"/>
      <c r="M16" s="23" t="n">
        <v/>
      </c>
      <c r="N16" s="22" t="n">
        <v/>
      </c>
      <c r="O16" s="21" t="inlineStr">
        <is>
          <t>行情未刷新</t>
        </is>
      </c>
      <c r="P16" s="21" t="inlineStr">
        <is>
          <t>观察仓</t>
        </is>
      </c>
      <c r="Q16" s="24" t="n"/>
      <c r="R16" s="21" t="n">
        <v>1</v>
      </c>
      <c r="S16" s="21" t="inlineStr">
        <is>
          <t>待确认</t>
        </is>
      </c>
      <c r="T16" s="20" t="inlineStr">
        <is>
          <t>指数锚点（不可交易）</t>
        </is>
      </c>
      <c r="U16" s="25" t="n">
        <v/>
      </c>
      <c r="V16" s="26" t="n"/>
      <c r="W16" s="21" t="n"/>
      <c r="X16" s="26" t="n"/>
      <c r="Y16" s="21" t="inlineStr">
        <is>
          <t>缺少日内数据</t>
        </is>
      </c>
      <c r="Z16" s="20" t="inlineStr">
        <is>
          <t>缺少涨跌幅</t>
        </is>
      </c>
      <c r="AA16" s="21" t="inlineStr">
        <is>
          <t>量能替代：缺少成交额/20日均额</t>
        </is>
      </c>
      <c r="AB16" s="21" t="inlineStr">
        <is>
          <t>折溢价替代：缺少涨跌幅</t>
        </is>
      </c>
      <c r="AC16" s="21" t="inlineStr">
        <is>
          <t>待人工确认</t>
        </is>
      </c>
      <c r="AD16" s="20" t="inlineStr">
        <is>
          <t>待次日确认</t>
        </is>
      </c>
      <c r="AE16" s="20" t="inlineStr">
        <is>
          <t>无</t>
        </is>
      </c>
      <c r="AF16" s="20" t="inlineStr">
        <is>
          <t>无</t>
        </is>
      </c>
      <c r="AG16" s="20" t="inlineStr">
        <is>
          <t>分时结构；量价关系；份额/筹码；折溢价/估值；龙头同步；次日验证</t>
        </is>
      </c>
      <c r="AH16" s="14" t="inlineStr">
        <is>
          <t>是</t>
        </is>
      </c>
      <c r="AI16" s="20" t="inlineStr">
        <is>
          <t>指数仅作市场锚点，不执行买入</t>
        </is>
      </c>
      <c r="AJ16" s="22" t="n">
        <v/>
      </c>
      <c r="AK16" s="23" t="n">
        <v/>
      </c>
      <c r="AL16" s="23" t="n">
        <v/>
      </c>
      <c r="AM16" s="20" t="n"/>
    </row>
    <row r="17" ht="38" customHeight="1">
      <c r="A17" s="18" t="inlineStr">
        <is>
          <t>红</t>
        </is>
      </c>
      <c r="B17" s="15" t="inlineStr">
        <is>
          <t>000300.SH</t>
        </is>
      </c>
      <c r="C17" s="9" t="inlineStr">
        <is>
          <t>沪深300</t>
        </is>
      </c>
      <c r="D17" s="9" t="inlineStr">
        <is>
          <t>指数锚点，仅观察，不执行买入</t>
        </is>
      </c>
      <c r="E17" s="13" t="inlineStr">
        <is>
          <t>指数仅作市场锚点，不执行买入</t>
        </is>
      </c>
      <c r="F17" s="13" t="n">
        <v>0</v>
      </c>
      <c r="G17" s="9" t="inlineStr">
        <is>
          <t>不适用</t>
        </is>
      </c>
      <c r="H17" s="13" t="inlineStr">
        <is>
          <t>暂停标准新增</t>
        </is>
      </c>
      <c r="I17" s="16" t="n">
        <v/>
      </c>
      <c r="J17" s="16" t="n">
        <v/>
      </c>
      <c r="K17" s="16" t="n">
        <v/>
      </c>
      <c r="L17" s="9" t="n"/>
      <c r="M17" s="17" t="n">
        <v/>
      </c>
      <c r="N17" s="16" t="n">
        <v/>
      </c>
      <c r="O17" s="13" t="inlineStr">
        <is>
          <t>行情未刷新</t>
        </is>
      </c>
      <c r="P17" s="13" t="inlineStr">
        <is>
          <t>观察仓</t>
        </is>
      </c>
      <c r="Q17" s="27" t="n"/>
      <c r="R17" s="13" t="n">
        <v>1</v>
      </c>
      <c r="S17" s="13" t="inlineStr">
        <is>
          <t>待确认</t>
        </is>
      </c>
      <c r="T17" s="9" t="inlineStr">
        <is>
          <t>指数锚点（不可交易）</t>
        </is>
      </c>
      <c r="U17" s="28" t="n">
        <v/>
      </c>
      <c r="V17" s="29" t="n"/>
      <c r="W17" s="13" t="n"/>
      <c r="X17" s="29" t="n"/>
      <c r="Y17" s="13" t="inlineStr">
        <is>
          <t>缺少日内数据</t>
        </is>
      </c>
      <c r="Z17" s="9" t="inlineStr">
        <is>
          <t>缺少涨跌幅</t>
        </is>
      </c>
      <c r="AA17" s="13" t="inlineStr">
        <is>
          <t>量能替代：缺少成交额/20日均额</t>
        </is>
      </c>
      <c r="AB17" s="13" t="inlineStr">
        <is>
          <t>折溢价替代：缺少涨跌幅</t>
        </is>
      </c>
      <c r="AC17" s="13" t="inlineStr">
        <is>
          <t>待人工确认</t>
        </is>
      </c>
      <c r="AD17" s="9" t="inlineStr">
        <is>
          <t>待次日确认</t>
        </is>
      </c>
      <c r="AE17" s="9" t="inlineStr">
        <is>
          <t>无</t>
        </is>
      </c>
      <c r="AF17" s="9" t="inlineStr">
        <is>
          <t>无</t>
        </is>
      </c>
      <c r="AG17" s="9" t="inlineStr">
        <is>
          <t>分时结构；量价关系；份额/筹码；折溢价/估值；龙头同步；次日验证</t>
        </is>
      </c>
      <c r="AH17" s="14" t="inlineStr">
        <is>
          <t>是</t>
        </is>
      </c>
      <c r="AI17" s="9" t="inlineStr">
        <is>
          <t>指数仅作市场锚点，不执行买入</t>
        </is>
      </c>
      <c r="AJ17" s="16" t="n">
        <v/>
      </c>
      <c r="AK17" s="17" t="n">
        <v/>
      </c>
      <c r="AL17" s="17" t="n">
        <v/>
      </c>
      <c r="AM17" s="9" t="n"/>
    </row>
    <row r="18" ht="38" customHeight="1">
      <c r="A18" s="18" t="inlineStr">
        <is>
          <t>红</t>
        </is>
      </c>
      <c r="B18" s="19" t="inlineStr">
        <is>
          <t>000510.CSI</t>
        </is>
      </c>
      <c r="C18" s="20" t="inlineStr">
        <is>
          <t>中证A500</t>
        </is>
      </c>
      <c r="D18" s="20" t="inlineStr">
        <is>
          <t>指数锚点，仅观察，不执行买入</t>
        </is>
      </c>
      <c r="E18" s="21" t="inlineStr">
        <is>
          <t>指数仅作市场锚点，不执行买入</t>
        </is>
      </c>
      <c r="F18" s="21" t="n">
        <v>0</v>
      </c>
      <c r="G18" s="20" t="inlineStr">
        <is>
          <t>不适用</t>
        </is>
      </c>
      <c r="H18" s="21" t="inlineStr">
        <is>
          <t>暂停标准新增</t>
        </is>
      </c>
      <c r="I18" s="22" t="n">
        <v/>
      </c>
      <c r="J18" s="22" t="n">
        <v/>
      </c>
      <c r="K18" s="22" t="n">
        <v/>
      </c>
      <c r="L18" s="20" t="n"/>
      <c r="M18" s="23" t="n">
        <v/>
      </c>
      <c r="N18" s="22" t="n">
        <v/>
      </c>
      <c r="O18" s="21" t="inlineStr">
        <is>
          <t>行情未刷新</t>
        </is>
      </c>
      <c r="P18" s="21" t="inlineStr">
        <is>
          <t>观察仓</t>
        </is>
      </c>
      <c r="Q18" s="24" t="n"/>
      <c r="R18" s="21" t="n">
        <v>1</v>
      </c>
      <c r="S18" s="21" t="inlineStr">
        <is>
          <t>待确认</t>
        </is>
      </c>
      <c r="T18" s="20" t="inlineStr">
        <is>
          <t>指数锚点（不可交易）</t>
        </is>
      </c>
      <c r="U18" s="25" t="n">
        <v/>
      </c>
      <c r="V18" s="26" t="n"/>
      <c r="W18" s="21" t="n"/>
      <c r="X18" s="26" t="n"/>
      <c r="Y18" s="21" t="inlineStr">
        <is>
          <t>缺少日内数据</t>
        </is>
      </c>
      <c r="Z18" s="20" t="inlineStr">
        <is>
          <t>缺少涨跌幅</t>
        </is>
      </c>
      <c r="AA18" s="21" t="inlineStr">
        <is>
          <t>量能替代：缺少成交额/20日均额</t>
        </is>
      </c>
      <c r="AB18" s="21" t="inlineStr">
        <is>
          <t>折溢价替代：缺少涨跌幅</t>
        </is>
      </c>
      <c r="AC18" s="21" t="inlineStr">
        <is>
          <t>待人工确认</t>
        </is>
      </c>
      <c r="AD18" s="20" t="inlineStr">
        <is>
          <t>待次日确认</t>
        </is>
      </c>
      <c r="AE18" s="20" t="inlineStr">
        <is>
          <t>无</t>
        </is>
      </c>
      <c r="AF18" s="20" t="inlineStr">
        <is>
          <t>无</t>
        </is>
      </c>
      <c r="AG18" s="20" t="inlineStr">
        <is>
          <t>分时结构；量价关系；份额/筹码；折溢价/估值；龙头同步；次日验证</t>
        </is>
      </c>
      <c r="AH18" s="14" t="inlineStr">
        <is>
          <t>是</t>
        </is>
      </c>
      <c r="AI18" s="20" t="inlineStr">
        <is>
          <t>指数仅作市场锚点，不执行买入</t>
        </is>
      </c>
      <c r="AJ18" s="22" t="n">
        <v/>
      </c>
      <c r="AK18" s="23" t="n">
        <v/>
      </c>
      <c r="AL18" s="23" t="n">
        <v/>
      </c>
      <c r="AM18" s="20" t="n"/>
    </row>
    <row r="19" ht="38" customHeight="1">
      <c r="A19" s="18" t="inlineStr">
        <is>
          <t>红</t>
        </is>
      </c>
      <c r="B19" s="15" t="inlineStr">
        <is>
          <t>000688.SH</t>
        </is>
      </c>
      <c r="C19" s="9" t="inlineStr">
        <is>
          <t>科创50</t>
        </is>
      </c>
      <c r="D19" s="9" t="inlineStr">
        <is>
          <t>指数锚点，仅观察，不执行买入</t>
        </is>
      </c>
      <c r="E19" s="13" t="inlineStr">
        <is>
          <t>指数仅作市场锚点，不执行买入</t>
        </is>
      </c>
      <c r="F19" s="13" t="n">
        <v>0</v>
      </c>
      <c r="G19" s="9" t="inlineStr">
        <is>
          <t>不适用</t>
        </is>
      </c>
      <c r="H19" s="13" t="inlineStr">
        <is>
          <t>暂停标准新增</t>
        </is>
      </c>
      <c r="I19" s="16" t="n">
        <v/>
      </c>
      <c r="J19" s="16" t="n">
        <v/>
      </c>
      <c r="K19" s="16" t="n">
        <v/>
      </c>
      <c r="L19" s="9" t="n"/>
      <c r="M19" s="17" t="n">
        <v/>
      </c>
      <c r="N19" s="16" t="n">
        <v/>
      </c>
      <c r="O19" s="13" t="inlineStr">
        <is>
          <t>行情未刷新</t>
        </is>
      </c>
      <c r="P19" s="13" t="inlineStr">
        <is>
          <t>观察仓</t>
        </is>
      </c>
      <c r="Q19" s="27" t="n"/>
      <c r="R19" s="13" t="n">
        <v>1</v>
      </c>
      <c r="S19" s="13" t="inlineStr">
        <is>
          <t>待确认</t>
        </is>
      </c>
      <c r="T19" s="9" t="inlineStr">
        <is>
          <t>指数锚点（不可交易）</t>
        </is>
      </c>
      <c r="U19" s="28" t="n">
        <v/>
      </c>
      <c r="V19" s="29" t="n"/>
      <c r="W19" s="13" t="n"/>
      <c r="X19" s="29" t="n"/>
      <c r="Y19" s="13" t="inlineStr">
        <is>
          <t>缺少日内数据</t>
        </is>
      </c>
      <c r="Z19" s="9" t="inlineStr">
        <is>
          <t>缺少涨跌幅</t>
        </is>
      </c>
      <c r="AA19" s="13" t="inlineStr">
        <is>
          <t>量能替代：缺少成交额/20日均额</t>
        </is>
      </c>
      <c r="AB19" s="13" t="inlineStr">
        <is>
          <t>折溢价替代：缺少涨跌幅</t>
        </is>
      </c>
      <c r="AC19" s="13" t="inlineStr">
        <is>
          <t>待人工确认</t>
        </is>
      </c>
      <c r="AD19" s="9" t="inlineStr">
        <is>
          <t>待次日确认</t>
        </is>
      </c>
      <c r="AE19" s="9" t="inlineStr">
        <is>
          <t>无</t>
        </is>
      </c>
      <c r="AF19" s="9" t="inlineStr">
        <is>
          <t>无</t>
        </is>
      </c>
      <c r="AG19" s="9" t="inlineStr">
        <is>
          <t>分时结构；量价关系；份额/筹码；折溢价/估值；龙头同步；次日验证</t>
        </is>
      </c>
      <c r="AH19" s="14" t="inlineStr">
        <is>
          <t>是</t>
        </is>
      </c>
      <c r="AI19" s="9" t="inlineStr">
        <is>
          <t>指数仅作市场锚点，不执行买入</t>
        </is>
      </c>
      <c r="AJ19" s="16" t="n">
        <v/>
      </c>
      <c r="AK19" s="17" t="n">
        <v/>
      </c>
      <c r="AL19" s="17" t="n">
        <v/>
      </c>
      <c r="AM19" s="9" t="n"/>
    </row>
    <row r="20" ht="38" customHeight="1">
      <c r="A20" s="18" t="inlineStr">
        <is>
          <t>红</t>
        </is>
      </c>
      <c r="B20" s="19" t="inlineStr">
        <is>
          <t>399006.SZ</t>
        </is>
      </c>
      <c r="C20" s="20" t="inlineStr">
        <is>
          <t>创业板指</t>
        </is>
      </c>
      <c r="D20" s="20" t="inlineStr">
        <is>
          <t>指数锚点，仅观察，不执行买入</t>
        </is>
      </c>
      <c r="E20" s="21" t="inlineStr">
        <is>
          <t>指数仅作市场锚点，不执行买入</t>
        </is>
      </c>
      <c r="F20" s="21" t="n">
        <v>0</v>
      </c>
      <c r="G20" s="20" t="inlineStr">
        <is>
          <t>不适用</t>
        </is>
      </c>
      <c r="H20" s="21" t="inlineStr">
        <is>
          <t>暂停标准新增</t>
        </is>
      </c>
      <c r="I20" s="22" t="n">
        <v/>
      </c>
      <c r="J20" s="22" t="n">
        <v/>
      </c>
      <c r="K20" s="22" t="n">
        <v/>
      </c>
      <c r="L20" s="20" t="n"/>
      <c r="M20" s="23" t="n">
        <v/>
      </c>
      <c r="N20" s="22" t="n">
        <v/>
      </c>
      <c r="O20" s="21" t="inlineStr">
        <is>
          <t>行情未刷新</t>
        </is>
      </c>
      <c r="P20" s="21" t="inlineStr">
        <is>
          <t>观察仓</t>
        </is>
      </c>
      <c r="Q20" s="24" t="n"/>
      <c r="R20" s="21" t="n">
        <v>1</v>
      </c>
      <c r="S20" s="21" t="inlineStr">
        <is>
          <t>待确认</t>
        </is>
      </c>
      <c r="T20" s="20" t="inlineStr">
        <is>
          <t>指数锚点（不可交易）</t>
        </is>
      </c>
      <c r="U20" s="25" t="n">
        <v/>
      </c>
      <c r="V20" s="26" t="n"/>
      <c r="W20" s="21" t="n"/>
      <c r="X20" s="26" t="n"/>
      <c r="Y20" s="21" t="inlineStr">
        <is>
          <t>缺少日内数据</t>
        </is>
      </c>
      <c r="Z20" s="20" t="inlineStr">
        <is>
          <t>缺少涨跌幅</t>
        </is>
      </c>
      <c r="AA20" s="21" t="inlineStr">
        <is>
          <t>量能替代：缺少成交额/20日均额</t>
        </is>
      </c>
      <c r="AB20" s="21" t="inlineStr">
        <is>
          <t>折溢价替代：缺少涨跌幅</t>
        </is>
      </c>
      <c r="AC20" s="21" t="inlineStr">
        <is>
          <t>待人工确认</t>
        </is>
      </c>
      <c r="AD20" s="20" t="inlineStr">
        <is>
          <t>待次日确认</t>
        </is>
      </c>
      <c r="AE20" s="20" t="inlineStr">
        <is>
          <t>无</t>
        </is>
      </c>
      <c r="AF20" s="20" t="inlineStr">
        <is>
          <t>无</t>
        </is>
      </c>
      <c r="AG20" s="20" t="inlineStr">
        <is>
          <t>分时结构；量价关系；份额/筹码；折溢价/估值；龙头同步；次日验证</t>
        </is>
      </c>
      <c r="AH20" s="14" t="inlineStr">
        <is>
          <t>是</t>
        </is>
      </c>
      <c r="AI20" s="20" t="inlineStr">
        <is>
          <t>指数仅作市场锚点，不执行买入</t>
        </is>
      </c>
      <c r="AJ20" s="22" t="n">
        <v/>
      </c>
      <c r="AK20" s="23" t="n">
        <v/>
      </c>
      <c r="AL20" s="23" t="n">
        <v/>
      </c>
      <c r="AM20" s="20" t="n"/>
    </row>
  </sheetData>
  <autoFilter ref="A1:AM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4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8" customWidth="1" min="34" max="34"/>
    <col width="42" customWidth="1" min="35" max="35"/>
    <col width="14" customWidth="1" min="36" max="36"/>
  </cols>
  <sheetData>
    <row r="1">
      <c r="A1" s="12" t="inlineStr">
        <is>
          <t>风险级别</t>
        </is>
      </c>
      <c r="B1" s="12" t="inlineStr">
        <is>
          <t>Code</t>
        </is>
      </c>
      <c r="C1" s="12" t="inlineStr">
        <is>
          <t>Name</t>
        </is>
      </c>
      <c r="D1" s="12" t="inlineStr">
        <is>
          <t>动作建议</t>
        </is>
      </c>
      <c r="E1" s="12" t="inlineStr">
        <is>
          <t>触发原因</t>
        </is>
      </c>
      <c r="F1" s="12" t="inlineStr">
        <is>
          <t>Weight</t>
        </is>
      </c>
      <c r="G1" s="12" t="inlineStr">
        <is>
          <t>Target Weight</t>
        </is>
      </c>
      <c r="H1" s="12" t="inlineStr">
        <is>
          <t>P/L</t>
        </is>
      </c>
      <c r="I1" s="12" t="inlineStr">
        <is>
          <t>P/L%</t>
        </is>
      </c>
      <c r="J1" s="12" t="inlineStr">
        <is>
          <t>Market Value</t>
        </is>
      </c>
      <c r="K1" s="12" t="inlineStr">
        <is>
          <t>Latest</t>
        </is>
      </c>
      <c r="L1" s="12" t="inlineStr">
        <is>
          <t>纪律分类</t>
        </is>
      </c>
      <c r="M1" s="12" t="inlineStr">
        <is>
          <t>触发提醒</t>
        </is>
      </c>
      <c r="N1" s="12" t="inlineStr">
        <is>
          <t>年度配置项</t>
        </is>
      </c>
      <c r="O1" s="12" t="inlineStr">
        <is>
          <t>年度资金缺口</t>
        </is>
      </c>
      <c r="P1" s="12" t="inlineStr">
        <is>
          <t>年度完成率</t>
        </is>
      </c>
      <c r="Q1" s="12" t="inlineStr">
        <is>
          <t>Shares</t>
        </is>
      </c>
      <c r="R1" s="12" t="inlineStr">
        <is>
          <t>Available Shares</t>
        </is>
      </c>
      <c r="S1" s="12" t="inlineStr">
        <is>
          <t>Cost</t>
        </is>
      </c>
      <c r="T1" s="12" t="inlineStr">
        <is>
          <t>Latest Source</t>
        </is>
      </c>
      <c r="U1" s="12" t="inlineStr">
        <is>
          <t>Today P/L</t>
        </is>
      </c>
      <c r="V1" s="12" t="inlineStr">
        <is>
          <t>Today P/L%</t>
        </is>
      </c>
      <c r="W1" s="12" t="inlineStr">
        <is>
          <t>Buy Avg</t>
        </is>
      </c>
      <c r="X1" s="12" t="inlineStr">
        <is>
          <t>Full Asset Weight</t>
        </is>
      </c>
      <c r="Y1" s="12" t="inlineStr">
        <is>
          <t>Broker Latest</t>
        </is>
      </c>
      <c r="Z1" s="12" t="inlineStr">
        <is>
          <t>Broker Market Value</t>
        </is>
      </c>
      <c r="AA1" s="12" t="inlineStr">
        <is>
          <t>Broker Weight</t>
        </is>
      </c>
      <c r="AB1" s="12" t="inlineStr">
        <is>
          <t>Role</t>
        </is>
      </c>
      <c r="AC1" s="12" t="inlineStr">
        <is>
          <t>Weight Gap</t>
        </is>
      </c>
      <c r="AD1" s="12" t="inlineStr">
        <is>
          <t>V2.8.5 Action</t>
        </is>
      </c>
      <c r="AE1" s="12" t="inlineStr">
        <is>
          <t>年度全资产目标</t>
        </is>
      </c>
      <c r="AF1" s="12" t="inlineStr">
        <is>
          <t>年度目标金额</t>
        </is>
      </c>
      <c r="AG1" s="12" t="inlineStr">
        <is>
          <t>年度组内当前金额</t>
        </is>
      </c>
      <c r="AH1" s="12" t="inlineStr">
        <is>
          <t>年度配置状态</t>
        </is>
      </c>
      <c r="AI1" s="12" t="inlineStr">
        <is>
          <t>说明</t>
        </is>
      </c>
      <c r="AJ1" s="12" t="inlineStr">
        <is>
          <t>是否复审</t>
        </is>
      </c>
    </row>
    <row r="2" ht="34" customHeight="1">
      <c r="A2" s="30" t="inlineStr">
        <is>
          <t>红</t>
        </is>
      </c>
      <c r="B2" s="19" t="inlineStr">
        <is>
          <t>002594</t>
        </is>
      </c>
      <c r="C2" s="20" t="inlineStr">
        <is>
          <t>比亚迪</t>
        </is>
      </c>
      <c r="D2" s="20" t="inlineStr">
        <is>
          <t>按原持仓规则观察</t>
        </is>
      </c>
      <c r="E2" s="21" t="inlineStr">
        <is>
          <t>当前仓位9.33%高于目标5.00%</t>
        </is>
      </c>
      <c r="F2" s="21" t="n">
        <v>0.09329999999999999</v>
      </c>
      <c r="G2" s="21" t="n">
        <v>0.05</v>
      </c>
      <c r="H2" s="21" t="n">
        <v>-33833.18</v>
      </c>
      <c r="I2" s="21" t="n">
        <v>-0.2576</v>
      </c>
      <c r="J2" s="21" t="n">
        <v>97504</v>
      </c>
      <c r="K2" s="25" t="n">
        <v>88.64</v>
      </c>
      <c r="L2" s="21" t="inlineStr">
        <is>
          <t>未纳入专项纪律</t>
        </is>
      </c>
      <c r="M2" s="21" t="inlineStr">
        <is>
          <t>否</t>
        </is>
      </c>
      <c r="N2" s="20" t="inlineStr">
        <is>
          <t>比亚迪+绿电+储能</t>
        </is>
      </c>
      <c r="O2" s="23" t="n">
        <v>-48452.39999999999</v>
      </c>
      <c r="P2" s="22" t="n">
        <v>1.337670917833995</v>
      </c>
      <c r="Q2" s="21" t="n">
        <v>1100</v>
      </c>
      <c r="R2" s="21" t="n">
        <v>1100</v>
      </c>
      <c r="S2" s="21" t="n">
        <v>119.397</v>
      </c>
      <c r="T2" s="21" t="inlineStr">
        <is>
          <t>券商截图</t>
        </is>
      </c>
      <c r="U2" s="21" t="n">
        <v>1287</v>
      </c>
      <c r="V2" s="21" t="n">
        <v>0.0134</v>
      </c>
      <c r="W2" s="21" t="n">
        <v>118.517</v>
      </c>
      <c r="X2" s="22" t="n">
        <v>0.0204</v>
      </c>
      <c r="Y2" s="21" t="n">
        <v>88.64</v>
      </c>
      <c r="Z2" s="21" t="n">
        <v>97504</v>
      </c>
      <c r="AA2" s="21" t="n">
        <v>0.09329999999999999</v>
      </c>
      <c r="AB2" s="21" t="inlineStr">
        <is>
          <t>遗留仓</t>
        </is>
      </c>
      <c r="AC2" s="22" t="n">
        <v>0.0433</v>
      </c>
      <c r="AD2" s="21" t="inlineStr">
        <is>
          <t>超目标，考虑减仓</t>
        </is>
      </c>
      <c r="AE2" s="22" t="n">
        <v>0.03</v>
      </c>
      <c r="AF2" s="23" t="n">
        <v>143490</v>
      </c>
      <c r="AG2" s="23" t="n">
        <v>191942.4</v>
      </c>
      <c r="AH2" s="20" t="inlineStr">
        <is>
          <t>达到或超过年度目标</t>
        </is>
      </c>
      <c r="AI2" s="20" t="inlineStr">
        <is>
          <t>未命中专项纪律，按原持仓规则观察</t>
        </is>
      </c>
      <c r="AJ2" s="21" t="inlineStr">
        <is>
          <t>否</t>
        </is>
      </c>
    </row>
    <row r="3" ht="34" customHeight="1">
      <c r="A3" s="30" t="inlineStr">
        <is>
          <t>红</t>
        </is>
      </c>
      <c r="B3" s="15" t="inlineStr">
        <is>
          <t>159338</t>
        </is>
      </c>
      <c r="C3" s="9" t="inlineStr">
        <is>
          <t>中证A500ETF</t>
        </is>
      </c>
      <c r="D3" s="9" t="inlineStr">
        <is>
          <t>按原持仓规则观察</t>
        </is>
      </c>
      <c r="E3" s="13" t="inlineStr">
        <is>
          <t>当前仓位7.02%高于目标6.00%</t>
        </is>
      </c>
      <c r="F3" s="13" t="n">
        <v>0.0702</v>
      </c>
      <c r="G3" s="13" t="n">
        <v>0.06</v>
      </c>
      <c r="H3" s="13" t="n">
        <v>1847.05</v>
      </c>
      <c r="I3" s="13" t="n">
        <v>0.0258</v>
      </c>
      <c r="J3" s="13" t="n">
        <v>73294.2</v>
      </c>
      <c r="K3" s="28" t="n">
        <v>1.323</v>
      </c>
      <c r="L3" s="13" t="inlineStr">
        <is>
          <t>未纳入专项纪律</t>
        </is>
      </c>
      <c r="M3" s="13" t="inlineStr">
        <is>
          <t>否</t>
        </is>
      </c>
      <c r="N3" s="9" t="inlineStr">
        <is>
          <t>中证A500ETF</t>
        </is>
      </c>
      <c r="O3" s="17" t="n">
        <v>273365.8</v>
      </c>
      <c r="P3" s="16" t="n">
        <v>0.285579657118963</v>
      </c>
      <c r="Q3" s="13" t="n">
        <v>55400</v>
      </c>
      <c r="R3" s="13" t="n">
        <v>55400</v>
      </c>
      <c r="S3" s="13" t="n">
        <v>1.29</v>
      </c>
      <c r="T3" s="13" t="inlineStr">
        <is>
          <t>券商截图</t>
        </is>
      </c>
      <c r="U3" s="13" t="n">
        <v>498.6</v>
      </c>
      <c r="V3" s="13" t="n">
        <v>0.0068</v>
      </c>
      <c r="W3" s="13" t="n">
        <v>1.29</v>
      </c>
      <c r="X3" s="16" t="n">
        <v>0.0153</v>
      </c>
      <c r="Y3" s="13" t="n">
        <v>1.323</v>
      </c>
      <c r="Z3" s="13" t="n">
        <v>73294.2</v>
      </c>
      <c r="AA3" s="13" t="n">
        <v>0.0702</v>
      </c>
      <c r="AB3" s="13" t="inlineStr">
        <is>
          <t>低波权益层</t>
        </is>
      </c>
      <c r="AC3" s="16" t="n">
        <v>0.0102</v>
      </c>
      <c r="AD3" s="13" t="inlineStr">
        <is>
          <t>超目标，考虑减仓</t>
        </is>
      </c>
      <c r="AE3" s="16" t="n">
        <v>0.08</v>
      </c>
      <c r="AF3" s="17" t="n">
        <v>382640</v>
      </c>
      <c r="AG3" s="17" t="n">
        <v>109274.2</v>
      </c>
      <c r="AH3" s="9" t="inlineStr">
        <is>
          <t>配置中</t>
        </is>
      </c>
      <c r="AI3" s="9" t="inlineStr">
        <is>
          <t>未命中专项纪律，按原持仓规则观察</t>
        </is>
      </c>
      <c r="AJ3" s="13" t="inlineStr">
        <is>
          <t>否</t>
        </is>
      </c>
    </row>
    <row r="4" ht="34" customHeight="1">
      <c r="A4" s="30" t="inlineStr">
        <is>
          <t>红</t>
        </is>
      </c>
      <c r="B4" s="19" t="inlineStr">
        <is>
          <t>516630</t>
        </is>
      </c>
      <c r="C4" s="20" t="inlineStr">
        <is>
          <t>云计算ETF</t>
        </is>
      </c>
      <c r="D4" s="20" t="inlineStr">
        <is>
          <t>按原持仓规则观察</t>
        </is>
      </c>
      <c r="E4" s="21" t="inlineStr">
        <is>
          <t>当前仓位6.06%高于目标3.00%</t>
        </is>
      </c>
      <c r="F4" s="21" t="n">
        <v>0.0606</v>
      </c>
      <c r="G4" s="21" t="n">
        <v>0.03</v>
      </c>
      <c r="H4" s="21" t="n">
        <v>-3415.68</v>
      </c>
      <c r="I4" s="21" t="n">
        <v>-0.0512</v>
      </c>
      <c r="J4" s="21" t="n">
        <v>63344</v>
      </c>
      <c r="K4" s="25" t="n">
        <v>1.712</v>
      </c>
      <c r="L4" s="21" t="inlineStr">
        <is>
          <t>未纳入专项纪律</t>
        </is>
      </c>
      <c r="M4" s="21" t="inlineStr">
        <is>
          <t>否</t>
        </is>
      </c>
      <c r="N4" s="20" t="inlineStr">
        <is>
          <t>云计算ETF</t>
        </is>
      </c>
      <c r="O4" s="23" t="n">
        <v>80146</v>
      </c>
      <c r="P4" s="22" t="n">
        <v>0.4414523660185379</v>
      </c>
      <c r="Q4" s="21" t="n">
        <v>37000</v>
      </c>
      <c r="R4" s="21" t="n">
        <v>37000</v>
      </c>
      <c r="S4" s="21" t="n">
        <v>1.804</v>
      </c>
      <c r="T4" s="21" t="inlineStr">
        <is>
          <t>券商截图</t>
        </is>
      </c>
      <c r="U4" s="21" t="n">
        <v>1480</v>
      </c>
      <c r="V4" s="21" t="n">
        <v>0.0239</v>
      </c>
      <c r="W4" s="21" t="n">
        <v>1.804</v>
      </c>
      <c r="X4" s="22" t="n">
        <v>0.0132</v>
      </c>
      <c r="Y4" s="21" t="n">
        <v>1.712</v>
      </c>
      <c r="Z4" s="21" t="n">
        <v>63344</v>
      </c>
      <c r="AA4" s="21" t="n">
        <v>0.0606</v>
      </c>
      <c r="AB4" s="21" t="inlineStr">
        <is>
          <t>战术仓</t>
        </is>
      </c>
      <c r="AC4" s="22" t="n">
        <v>0.0306</v>
      </c>
      <c r="AD4" s="21" t="inlineStr">
        <is>
          <t>超目标，考虑减仓</t>
        </is>
      </c>
      <c r="AE4" s="22" t="n">
        <v>0.03</v>
      </c>
      <c r="AF4" s="23" t="n">
        <v>143490</v>
      </c>
      <c r="AG4" s="23" t="n">
        <v>63344</v>
      </c>
      <c r="AH4" s="20" t="inlineStr">
        <is>
          <t>配置中</t>
        </is>
      </c>
      <c r="AI4" s="20" t="inlineStr">
        <is>
          <t>未命中专项纪律，按原持仓规则观察</t>
        </is>
      </c>
      <c r="AJ4" s="21" t="inlineStr">
        <is>
          <t>否</t>
        </is>
      </c>
    </row>
    <row r="5" ht="34" customHeight="1">
      <c r="A5" s="30" t="inlineStr">
        <is>
          <t>红</t>
        </is>
      </c>
      <c r="B5" s="15" t="inlineStr">
        <is>
          <t>159516</t>
        </is>
      </c>
      <c r="C5" s="9" t="inlineStr">
        <is>
          <t>半导体设备ETF</t>
        </is>
      </c>
      <c r="D5" s="9" t="inlineStr">
        <is>
          <t>按原持仓规则观察</t>
        </is>
      </c>
      <c r="E5" s="13" t="inlineStr">
        <is>
          <t>当前仓位5.80%高于目标5.00%</t>
        </is>
      </c>
      <c r="F5" s="13" t="n">
        <v>0.058</v>
      </c>
      <c r="G5" s="13" t="n">
        <v>0.05</v>
      </c>
      <c r="H5" s="13" t="n">
        <v>3034.24</v>
      </c>
      <c r="I5" s="13" t="n">
        <v>0.0527</v>
      </c>
      <c r="J5" s="13" t="n">
        <v>60640</v>
      </c>
      <c r="K5" s="28" t="n">
        <v>1.516</v>
      </c>
      <c r="L5" s="13" t="inlineStr">
        <is>
          <t>未纳入专项纪律</t>
        </is>
      </c>
      <c r="M5" s="13" t="inlineStr">
        <is>
          <t>否</t>
        </is>
      </c>
      <c r="N5" s="9" t="inlineStr">
        <is>
          <t>半导体设备ETF 159516</t>
        </is>
      </c>
      <c r="O5" s="17" t="n">
        <v>322000</v>
      </c>
      <c r="P5" s="16" t="n">
        <v>0.158477942713778</v>
      </c>
      <c r="Q5" s="13" t="n">
        <v>40000</v>
      </c>
      <c r="R5" s="13" t="n">
        <v>20000</v>
      </c>
      <c r="S5" s="13" t="n">
        <v>1.44</v>
      </c>
      <c r="T5" s="13" t="inlineStr">
        <is>
          <t>券商截图</t>
        </is>
      </c>
      <c r="U5" s="13" t="n">
        <v>496.98</v>
      </c>
      <c r="V5" s="13" t="n">
        <v>0.0083</v>
      </c>
      <c r="W5" s="13" t="n">
        <v>1.44</v>
      </c>
      <c r="X5" s="16" t="n">
        <v>0.0127</v>
      </c>
      <c r="Y5" s="13" t="n">
        <v>1.516</v>
      </c>
      <c r="Z5" s="13" t="n">
        <v>60640</v>
      </c>
      <c r="AA5" s="13" t="n">
        <v>0.058</v>
      </c>
      <c r="AB5" s="13" t="inlineStr">
        <is>
          <t>核心成长层</t>
        </is>
      </c>
      <c r="AC5" s="16" t="n">
        <v>0.008</v>
      </c>
      <c r="AD5" s="13" t="inlineStr">
        <is>
          <t>超目标，考虑减仓</t>
        </is>
      </c>
      <c r="AE5" s="16" t="n">
        <v>0.08</v>
      </c>
      <c r="AF5" s="17" t="n">
        <v>382640</v>
      </c>
      <c r="AG5" s="17" t="n">
        <v>60640</v>
      </c>
      <c r="AH5" s="9" t="inlineStr">
        <is>
          <t>配置中</t>
        </is>
      </c>
      <c r="AI5" s="9" t="inlineStr">
        <is>
          <t>未命中专项纪律，按原持仓规则观察</t>
        </is>
      </c>
      <c r="AJ5" s="13" t="inlineStr">
        <is>
          <t>否</t>
        </is>
      </c>
    </row>
    <row r="6" ht="34" customHeight="1">
      <c r="A6" s="30" t="inlineStr">
        <is>
          <t>红</t>
        </is>
      </c>
      <c r="B6" s="19" t="inlineStr">
        <is>
          <t>511010</t>
        </is>
      </c>
      <c r="C6" s="20" t="inlineStr">
        <is>
          <t>国债ETF</t>
        </is>
      </c>
      <c r="D6" s="20" t="inlineStr">
        <is>
          <t>按原持仓规则观察</t>
        </is>
      </c>
      <c r="E6" s="21" t="inlineStr">
        <is>
          <t>当前仓位5.41%高于目标4.00%</t>
        </is>
      </c>
      <c r="F6" s="21" t="n">
        <v>0.0541</v>
      </c>
      <c r="G6" s="21" t="n">
        <v>0.04</v>
      </c>
      <c r="H6" s="21" t="n">
        <v>65.7</v>
      </c>
      <c r="I6" s="21" t="n">
        <v>0.0012</v>
      </c>
      <c r="J6" s="21" t="n">
        <v>56555.2</v>
      </c>
      <c r="K6" s="25" t="n">
        <v>141.388</v>
      </c>
      <c r="L6" s="21" t="inlineStr">
        <is>
          <t>未纳入专项纪律</t>
        </is>
      </c>
      <c r="M6" s="21" t="inlineStr">
        <is>
          <t>否</t>
        </is>
      </c>
      <c r="N6" s="20" t="n"/>
      <c r="O6" s="23" t="n">
        <v/>
      </c>
      <c r="P6" s="22" t="n">
        <v/>
      </c>
      <c r="Q6" s="21" t="n">
        <v>400</v>
      </c>
      <c r="R6" s="21" t="n">
        <v>400</v>
      </c>
      <c r="S6" s="21" t="n">
        <v>141.224</v>
      </c>
      <c r="T6" s="21" t="inlineStr">
        <is>
          <t>券商截图</t>
        </is>
      </c>
      <c r="U6" s="21" t="n">
        <v>16</v>
      </c>
      <c r="V6" s="21" t="n">
        <v>0.0003</v>
      </c>
      <c r="W6" s="21" t="n">
        <v>141.224</v>
      </c>
      <c r="X6" s="22" t="n">
        <v>0.0118</v>
      </c>
      <c r="Y6" s="21" t="n">
        <v>141.388</v>
      </c>
      <c r="Z6" s="21" t="n">
        <v>56555.2</v>
      </c>
      <c r="AA6" s="21" t="n">
        <v>0.0541</v>
      </c>
      <c r="AB6" s="21" t="inlineStr">
        <is>
          <t>纯防御层</t>
        </is>
      </c>
      <c r="AC6" s="22" t="n">
        <v>0.0141</v>
      </c>
      <c r="AD6" s="21" t="inlineStr">
        <is>
          <t>超目标，考虑减仓</t>
        </is>
      </c>
      <c r="AE6" s="22" t="n">
        <v/>
      </c>
      <c r="AF6" s="23" t="n">
        <v/>
      </c>
      <c r="AG6" s="23" t="n">
        <v/>
      </c>
      <c r="AH6" s="20" t="n"/>
      <c r="AI6" s="20" t="inlineStr">
        <is>
          <t>未命中专项纪律，按原持仓规则观察</t>
        </is>
      </c>
      <c r="AJ6" s="21" t="inlineStr">
        <is>
          <t>否</t>
        </is>
      </c>
    </row>
    <row r="7" ht="34" customHeight="1">
      <c r="A7" s="30" t="inlineStr">
        <is>
          <t>红</t>
        </is>
      </c>
      <c r="B7" s="15" t="inlineStr">
        <is>
          <t>688083</t>
        </is>
      </c>
      <c r="C7" s="9" t="inlineStr">
        <is>
          <t>中望软件</t>
        </is>
      </c>
      <c r="D7" s="9" t="inlineStr">
        <is>
          <t>按原持仓规则观察</t>
        </is>
      </c>
      <c r="E7" s="13" t="inlineStr">
        <is>
          <t>当前仓位5.29%高于目标2.00%</t>
        </is>
      </c>
      <c r="F7" s="13" t="n">
        <v>0.0529</v>
      </c>
      <c r="G7" s="13" t="n">
        <v>0.02</v>
      </c>
      <c r="H7" s="13" t="n">
        <v>-51485.42</v>
      </c>
      <c r="I7" s="13" t="n">
        <v>-0.4823</v>
      </c>
      <c r="J7" s="13" t="n">
        <v>55275.22</v>
      </c>
      <c r="K7" s="28" t="n">
        <v>65.26000000000001</v>
      </c>
      <c r="L7" s="13" t="inlineStr">
        <is>
          <t>未纳入专项纪律</t>
        </is>
      </c>
      <c r="M7" s="13" t="inlineStr">
        <is>
          <t>否</t>
        </is>
      </c>
      <c r="N7" s="9" t="n"/>
      <c r="O7" s="17" t="n">
        <v/>
      </c>
      <c r="P7" s="16" t="n">
        <v/>
      </c>
      <c r="Q7" s="13" t="n">
        <v>847</v>
      </c>
      <c r="R7" s="13" t="n">
        <v>847</v>
      </c>
      <c r="S7" s="13" t="n">
        <v>126.046</v>
      </c>
      <c r="T7" s="13" t="inlineStr">
        <is>
          <t>券商截图</t>
        </is>
      </c>
      <c r="U7" s="13" t="n">
        <v>296.45</v>
      </c>
      <c r="V7" s="13" t="n">
        <v>0.0054</v>
      </c>
      <c r="W7" s="13" t="n">
        <v>76.407</v>
      </c>
      <c r="X7" s="16" t="n">
        <v>0.0116</v>
      </c>
      <c r="Y7" s="13" t="n">
        <v>65.26000000000001</v>
      </c>
      <c r="Z7" s="13" t="n">
        <v>55275.22</v>
      </c>
      <c r="AA7" s="13" t="n">
        <v>0.0529</v>
      </c>
      <c r="AB7" s="13" t="inlineStr">
        <is>
          <t>遗留仓</t>
        </is>
      </c>
      <c r="AC7" s="16" t="n">
        <v>0.0329</v>
      </c>
      <c r="AD7" s="13" t="inlineStr">
        <is>
          <t>超目标，考虑减仓</t>
        </is>
      </c>
      <c r="AE7" s="16" t="n">
        <v/>
      </c>
      <c r="AF7" s="17" t="n">
        <v/>
      </c>
      <c r="AG7" s="17" t="n">
        <v/>
      </c>
      <c r="AH7" s="9" t="n"/>
      <c r="AI7" s="9" t="inlineStr">
        <is>
          <t>未命中专项纪律，按原持仓规则观察</t>
        </is>
      </c>
      <c r="AJ7" s="13" t="inlineStr">
        <is>
          <t>否</t>
        </is>
      </c>
    </row>
    <row r="8" ht="34" customHeight="1">
      <c r="A8" s="30" t="inlineStr">
        <is>
          <t>红</t>
        </is>
      </c>
      <c r="B8" s="19" t="inlineStr">
        <is>
          <t>562550</t>
        </is>
      </c>
      <c r="C8" s="20" t="inlineStr">
        <is>
          <t>绿电ETF</t>
        </is>
      </c>
      <c r="D8" s="20" t="inlineStr">
        <is>
          <t>暂不卖出</t>
        </is>
      </c>
      <c r="E8" s="21" t="inlineStr">
        <is>
          <t>当前仓位4.56%高于目标3.00%</t>
        </is>
      </c>
      <c r="F8" s="21" t="n">
        <v>0.0456</v>
      </c>
      <c r="G8" s="21" t="n">
        <v>0.03</v>
      </c>
      <c r="H8" s="21" t="n">
        <v>-2814.49</v>
      </c>
      <c r="I8" s="21" t="n">
        <v>-0.0559</v>
      </c>
      <c r="J8" s="21" t="n">
        <v>47600</v>
      </c>
      <c r="K8" s="25" t="n">
        <v>1.19</v>
      </c>
      <c r="L8" s="21" t="inlineStr">
        <is>
          <t>非核心新能源</t>
        </is>
      </c>
      <c r="M8" s="21" t="inlineStr">
        <is>
          <t>否</t>
        </is>
      </c>
      <c r="N8" s="20" t="inlineStr">
        <is>
          <t>比亚迪+绿电+储能</t>
        </is>
      </c>
      <c r="O8" s="23" t="n">
        <v>-48452.39999999999</v>
      </c>
      <c r="P8" s="22" t="n">
        <v>1.337670917833995</v>
      </c>
      <c r="Q8" s="21" t="n">
        <v>40000</v>
      </c>
      <c r="R8" s="21" t="n">
        <v>40000</v>
      </c>
      <c r="S8" s="21" t="n">
        <v>1.26</v>
      </c>
      <c r="T8" s="21" t="inlineStr">
        <is>
          <t>券商截图</t>
        </is>
      </c>
      <c r="U8" s="21" t="n">
        <v>-1560</v>
      </c>
      <c r="V8" s="21" t="n">
        <v>-0.0317</v>
      </c>
      <c r="W8" s="21" t="n">
        <v>1.258</v>
      </c>
      <c r="X8" s="22" t="n">
        <v>0.01</v>
      </c>
      <c r="Y8" s="21" t="n">
        <v>1.19</v>
      </c>
      <c r="Z8" s="21" t="n">
        <v>47600</v>
      </c>
      <c r="AA8" s="21" t="n">
        <v>0.0456</v>
      </c>
      <c r="AB8" s="21" t="inlineStr">
        <is>
          <t>遗留仓</t>
        </is>
      </c>
      <c r="AC8" s="22" t="n">
        <v>0.0156</v>
      </c>
      <c r="AD8" s="21" t="inlineStr">
        <is>
          <t>超目标，考虑减仓</t>
        </is>
      </c>
      <c r="AE8" s="22" t="n">
        <v>0.03</v>
      </c>
      <c r="AF8" s="23" t="n">
        <v>143490</v>
      </c>
      <c r="AG8" s="23" t="n">
        <v>191942.4</v>
      </c>
      <c r="AH8" s="20" t="inlineStr">
        <is>
          <t>达到或超过年度目标</t>
        </is>
      </c>
      <c r="AI8" s="20" t="inlineStr">
        <is>
          <t>未达到1.30元纪律价格</t>
        </is>
      </c>
      <c r="AJ8" s="21" t="inlineStr">
        <is>
          <t>否</t>
        </is>
      </c>
    </row>
    <row r="9" ht="34" customHeight="1">
      <c r="A9" s="30" t="inlineStr">
        <is>
          <t>红</t>
        </is>
      </c>
      <c r="B9" s="15" t="inlineStr">
        <is>
          <t>159566</t>
        </is>
      </c>
      <c r="C9" s="9" t="inlineStr">
        <is>
          <t>储能电池ETF</t>
        </is>
      </c>
      <c r="D9" s="9" t="inlineStr">
        <is>
          <t>按原持仓规则观察</t>
        </is>
      </c>
      <c r="E9" s="13" t="inlineStr">
        <is>
          <t>当前仓位4.48%高于目标2.00%</t>
        </is>
      </c>
      <c r="F9" s="13" t="n">
        <v>0.0448</v>
      </c>
      <c r="G9" s="13" t="n">
        <v>0.02</v>
      </c>
      <c r="H9" s="13" t="n">
        <v>-1011.99</v>
      </c>
      <c r="I9" s="13" t="n">
        <v>-0.0211</v>
      </c>
      <c r="J9" s="13" t="n">
        <v>46838.4</v>
      </c>
      <c r="K9" s="28" t="n">
        <v>2.296</v>
      </c>
      <c r="L9" s="13" t="inlineStr">
        <is>
          <t>未纳入专项纪律</t>
        </is>
      </c>
      <c r="M9" s="13" t="inlineStr">
        <is>
          <t>否</t>
        </is>
      </c>
      <c r="N9" s="9" t="inlineStr">
        <is>
          <t>比亚迪+绿电+储能</t>
        </is>
      </c>
      <c r="O9" s="17" t="n">
        <v>-48452.39999999999</v>
      </c>
      <c r="P9" s="16" t="n">
        <v>1.337670917833995</v>
      </c>
      <c r="Q9" s="13" t="n">
        <v>20400</v>
      </c>
      <c r="R9" s="13" t="n">
        <v>20400</v>
      </c>
      <c r="S9" s="13" t="n">
        <v>2.346</v>
      </c>
      <c r="T9" s="13" t="inlineStr">
        <is>
          <t>券商截图</t>
        </is>
      </c>
      <c r="U9" s="13" t="n">
        <v>0</v>
      </c>
      <c r="V9" s="13" t="n">
        <v>0</v>
      </c>
      <c r="W9" s="13" t="n">
        <v>2.346</v>
      </c>
      <c r="X9" s="16" t="n">
        <v>0.0098</v>
      </c>
      <c r="Y9" s="13" t="n">
        <v>2.296</v>
      </c>
      <c r="Z9" s="13" t="n">
        <v>46838.4</v>
      </c>
      <c r="AA9" s="13" t="n">
        <v>0.0448</v>
      </c>
      <c r="AB9" s="13" t="inlineStr">
        <is>
          <t>遗留仓</t>
        </is>
      </c>
      <c r="AC9" s="16" t="n">
        <v>0.0248</v>
      </c>
      <c r="AD9" s="13" t="inlineStr">
        <is>
          <t>超目标，考虑减仓</t>
        </is>
      </c>
      <c r="AE9" s="16" t="n">
        <v>0.03</v>
      </c>
      <c r="AF9" s="17" t="n">
        <v>143490</v>
      </c>
      <c r="AG9" s="17" t="n">
        <v>191942.4</v>
      </c>
      <c r="AH9" s="9" t="inlineStr">
        <is>
          <t>达到或超过年度目标</t>
        </is>
      </c>
      <c r="AI9" s="9" t="inlineStr">
        <is>
          <t>未命中专项纪律，按原持仓规则观察</t>
        </is>
      </c>
      <c r="AJ9" s="13" t="inlineStr">
        <is>
          <t>否</t>
        </is>
      </c>
    </row>
    <row r="10" ht="34" customHeight="1">
      <c r="A10" s="30" t="inlineStr">
        <is>
          <t>红</t>
        </is>
      </c>
      <c r="B10" s="19" t="inlineStr">
        <is>
          <t>510210</t>
        </is>
      </c>
      <c r="C10" s="20" t="inlineStr">
        <is>
          <t>上证ETF</t>
        </is>
      </c>
      <c r="D10" s="20" t="inlineStr">
        <is>
          <t>提示卖出20000份</t>
        </is>
      </c>
      <c r="E10" s="21" t="inlineStr">
        <is>
          <t>上证ETF属于宽基重复，价格进入1.01-1.03元纪律区间</t>
        </is>
      </c>
      <c r="F10" s="21" t="n">
        <v>0.0344</v>
      </c>
      <c r="G10" s="21" t="n">
        <v>0.04</v>
      </c>
      <c r="H10" s="21" t="n">
        <v>4374.49</v>
      </c>
      <c r="I10" s="21" t="n">
        <v>0.1384</v>
      </c>
      <c r="J10" s="21" t="n">
        <v>35980</v>
      </c>
      <c r="K10" s="25" t="n">
        <v>1.028</v>
      </c>
      <c r="L10" s="21" t="inlineStr">
        <is>
          <t>宽基重复</t>
        </is>
      </c>
      <c r="M10" s="21" t="inlineStr">
        <is>
          <t>是</t>
        </is>
      </c>
      <c r="N10" s="20" t="inlineStr">
        <is>
          <t>中证A500ETF</t>
        </is>
      </c>
      <c r="O10" s="23" t="n">
        <v>273365.8</v>
      </c>
      <c r="P10" s="22" t="n">
        <v>0.285579657118963</v>
      </c>
      <c r="Q10" s="21" t="n">
        <v>35000</v>
      </c>
      <c r="R10" s="21" t="n">
        <v>35000</v>
      </c>
      <c r="S10" s="21" t="n">
        <v>0.903</v>
      </c>
      <c r="T10" s="21" t="inlineStr">
        <is>
          <t>券商截图</t>
        </is>
      </c>
      <c r="U10" s="21" t="n">
        <v>-175</v>
      </c>
      <c r="V10" s="21" t="n">
        <v>-0.0048</v>
      </c>
      <c r="W10" s="21" t="n">
        <v>0.983</v>
      </c>
      <c r="X10" s="22" t="n">
        <v>0.0075</v>
      </c>
      <c r="Y10" s="21" t="n">
        <v>1.028</v>
      </c>
      <c r="Z10" s="21" t="n">
        <v>35980</v>
      </c>
      <c r="AA10" s="21" t="n">
        <v>0.0344</v>
      </c>
      <c r="AB10" s="21" t="inlineStr">
        <is>
          <t>遗留仓</t>
        </is>
      </c>
      <c r="AC10" s="22" t="n">
        <v>-0.0056</v>
      </c>
      <c r="AD10" s="21" t="inlineStr">
        <is>
          <t>持有/观察</t>
        </is>
      </c>
      <c r="AE10" s="22" t="n">
        <v>0.08</v>
      </c>
      <c r="AF10" s="23" t="n">
        <v>382640</v>
      </c>
      <c r="AG10" s="23" t="n">
        <v>109274.2</v>
      </c>
      <c r="AH10" s="20" t="inlineStr">
        <is>
          <t>配置中</t>
        </is>
      </c>
      <c r="AI10" s="20" t="inlineStr">
        <is>
          <t>上证ETF属于宽基重复，价格进入1.01-1.03元纪律区间</t>
        </is>
      </c>
      <c r="AJ10" s="21" t="inlineStr">
        <is>
          <t>否</t>
        </is>
      </c>
    </row>
    <row r="11" ht="34" customHeight="1">
      <c r="A11" s="30" t="inlineStr">
        <is>
          <t>红</t>
        </is>
      </c>
      <c r="B11" s="15" t="inlineStr">
        <is>
          <t>159381</t>
        </is>
      </c>
      <c r="C11" s="9" t="inlineStr">
        <is>
          <t>创业板人工智能ETF</t>
        </is>
      </c>
      <c r="D11" s="9" t="inlineStr">
        <is>
          <t>按原持仓规则观察</t>
        </is>
      </c>
      <c r="E11" s="13" t="inlineStr">
        <is>
          <t>当前仓位2.07%高于目标2.00%</t>
        </is>
      </c>
      <c r="F11" s="13" t="n">
        <v>0.0207</v>
      </c>
      <c r="G11" s="13" t="n">
        <v>0.02</v>
      </c>
      <c r="H11" s="13" t="n">
        <v>872.92</v>
      </c>
      <c r="I11" s="13" t="n">
        <v>0.042</v>
      </c>
      <c r="J11" s="13" t="n">
        <v>21675</v>
      </c>
      <c r="K11" s="28" t="n">
        <v>1.445</v>
      </c>
      <c r="L11" s="13" t="inlineStr">
        <is>
          <t>未纳入专项纪律</t>
        </is>
      </c>
      <c r="M11" s="13" t="inlineStr">
        <is>
          <t>否</t>
        </is>
      </c>
      <c r="N11" s="9" t="inlineStr">
        <is>
          <t>创业板人工智能ETF 159381</t>
        </is>
      </c>
      <c r="O11" s="17" t="n">
        <v>265305</v>
      </c>
      <c r="P11" s="16" t="n">
        <v>0.07552791135270751</v>
      </c>
      <c r="Q11" s="13" t="n">
        <v>15000</v>
      </c>
      <c r="R11" s="13" t="n">
        <v>15000</v>
      </c>
      <c r="S11" s="13" t="n">
        <v>1.387</v>
      </c>
      <c r="T11" s="13" t="inlineStr">
        <is>
          <t>券商截图</t>
        </is>
      </c>
      <c r="U11" s="13" t="n">
        <v>570</v>
      </c>
      <c r="V11" s="13" t="n">
        <v>0.027</v>
      </c>
      <c r="W11" s="13" t="n">
        <v>1.387</v>
      </c>
      <c r="X11" s="16" t="n">
        <v>0.0045</v>
      </c>
      <c r="Y11" s="13" t="n">
        <v>1.445</v>
      </c>
      <c r="Z11" s="13" t="n">
        <v>21675</v>
      </c>
      <c r="AA11" s="13" t="n">
        <v>0.0207</v>
      </c>
      <c r="AB11" s="13" t="inlineStr">
        <is>
          <t>观察仓</t>
        </is>
      </c>
      <c r="AC11" s="16" t="n">
        <v>0.0007</v>
      </c>
      <c r="AD11" s="13" t="inlineStr">
        <is>
          <t>持有/观察</t>
        </is>
      </c>
      <c r="AE11" s="16" t="n">
        <v>0.06</v>
      </c>
      <c r="AF11" s="17" t="n">
        <v>286980</v>
      </c>
      <c r="AG11" s="17" t="n">
        <v>21675</v>
      </c>
      <c r="AH11" s="9" t="inlineStr">
        <is>
          <t>配置中</t>
        </is>
      </c>
      <c r="AI11" s="9" t="inlineStr">
        <is>
          <t>未命中专项纪律，按原持仓规则观察</t>
        </is>
      </c>
      <c r="AJ11" s="13" t="inlineStr">
        <is>
          <t>否</t>
        </is>
      </c>
    </row>
    <row r="12" ht="34" customHeight="1">
      <c r="A12" s="31" t="inlineStr">
        <is>
          <t>黄</t>
        </is>
      </c>
      <c r="B12" s="19" t="inlineStr">
        <is>
          <t>512890</t>
        </is>
      </c>
      <c r="C12" s="20" t="inlineStr">
        <is>
          <t>红利低波ETF</t>
        </is>
      </c>
      <c r="D12" s="20" t="inlineStr">
        <is>
          <t>按原持仓规则观察</t>
        </is>
      </c>
      <c r="E12" s="21" t="inlineStr">
        <is>
          <t>当前浮亏-1,704元</t>
        </is>
      </c>
      <c r="F12" s="21" t="n">
        <v>0.0406</v>
      </c>
      <c r="G12" s="21" t="n">
        <v>0.05</v>
      </c>
      <c r="H12" s="21" t="n">
        <v>-1704.41</v>
      </c>
      <c r="I12" s="21" t="n">
        <v>-0.0387</v>
      </c>
      <c r="J12" s="21" t="n">
        <v>42370</v>
      </c>
      <c r="K12" s="25" t="n">
        <v>1.115</v>
      </c>
      <c r="L12" s="21" t="inlineStr">
        <is>
          <t>未纳入专项纪律</t>
        </is>
      </c>
      <c r="M12" s="21" t="inlineStr">
        <is>
          <t>否</t>
        </is>
      </c>
      <c r="N12" s="20" t="inlineStr">
        <is>
          <t>红利低波ETF</t>
        </is>
      </c>
      <c r="O12" s="23" t="n">
        <v>196780</v>
      </c>
      <c r="P12" s="22" t="n">
        <v>0.1771691407066694</v>
      </c>
      <c r="Q12" s="21" t="n">
        <v>38000</v>
      </c>
      <c r="R12" s="21" t="n">
        <v>38000</v>
      </c>
      <c r="S12" s="21" t="n">
        <v>1.16</v>
      </c>
      <c r="T12" s="21" t="inlineStr">
        <is>
          <t>券商截图</t>
        </is>
      </c>
      <c r="U12" s="21" t="n">
        <v>-950</v>
      </c>
      <c r="V12" s="21" t="n">
        <v>-0.0219</v>
      </c>
      <c r="W12" s="21" t="n">
        <v>1.16</v>
      </c>
      <c r="X12" s="22" t="n">
        <v>0.0089</v>
      </c>
      <c r="Y12" s="21" t="n">
        <v>1.115</v>
      </c>
      <c r="Z12" s="21" t="n">
        <v>42370</v>
      </c>
      <c r="AA12" s="21" t="n">
        <v>0.0406</v>
      </c>
      <c r="AB12" s="21" t="inlineStr">
        <is>
          <t>低波权益层</t>
        </is>
      </c>
      <c r="AC12" s="22" t="n">
        <v>-0.0094</v>
      </c>
      <c r="AD12" s="21" t="inlineStr">
        <is>
          <t>持有/观察</t>
        </is>
      </c>
      <c r="AE12" s="22" t="n">
        <v>0.05</v>
      </c>
      <c r="AF12" s="23" t="n">
        <v>239150</v>
      </c>
      <c r="AG12" s="23" t="n">
        <v>42370</v>
      </c>
      <c r="AH12" s="20" t="inlineStr">
        <is>
          <t>配置中</t>
        </is>
      </c>
      <c r="AI12" s="20" t="inlineStr">
        <is>
          <t>未命中专项纪律，按原持仓规则观察</t>
        </is>
      </c>
      <c r="AJ12" s="21" t="inlineStr">
        <is>
          <t>否</t>
        </is>
      </c>
    </row>
    <row r="13" ht="34" customHeight="1">
      <c r="A13" s="32" t="inlineStr">
        <is>
          <t>灰</t>
        </is>
      </c>
      <c r="B13" s="15" t="inlineStr">
        <is>
          <t>562500</t>
        </is>
      </c>
      <c r="C13" s="9" t="inlineStr">
        <is>
          <t>机器人ETF</t>
        </is>
      </c>
      <c r="D13" s="9" t="inlineStr">
        <is>
          <t>持有不加</t>
        </is>
      </c>
      <c r="E13" s="13" t="inlineStr">
        <is>
          <t>未触发减仓或超配条件</t>
        </is>
      </c>
      <c r="F13" s="13" t="n">
        <v>0.1335</v>
      </c>
      <c r="G13" s="13" t="n">
        <v>0.14</v>
      </c>
      <c r="H13" s="13" t="n">
        <v>14067.07</v>
      </c>
      <c r="I13" s="13" t="n">
        <v>0.1122</v>
      </c>
      <c r="J13" s="13" t="n">
        <v>139459.2</v>
      </c>
      <c r="K13" s="28" t="n">
        <v>1.168</v>
      </c>
      <c r="L13" s="13" t="inlineStr">
        <is>
          <t>核心持有</t>
        </is>
      </c>
      <c r="M13" s="13" t="inlineStr">
        <is>
          <t>否</t>
        </is>
      </c>
      <c r="N13" s="9" t="inlineStr">
        <is>
          <t>机器人ETF 562500</t>
        </is>
      </c>
      <c r="O13" s="17" t="n">
        <v>243180.8</v>
      </c>
      <c r="P13" s="16" t="n">
        <v>0.364465816433201</v>
      </c>
      <c r="Q13" s="13" t="n">
        <v>119400</v>
      </c>
      <c r="R13" s="13" t="n">
        <v>119400</v>
      </c>
      <c r="S13" s="13" t="n">
        <v>1.05</v>
      </c>
      <c r="T13" s="13" t="inlineStr">
        <is>
          <t>券商截图</t>
        </is>
      </c>
      <c r="U13" s="13" t="n">
        <v>2865.6</v>
      </c>
      <c r="V13" s="13" t="n">
        <v>0.021</v>
      </c>
      <c r="W13" s="13" t="n">
        <v>1.063</v>
      </c>
      <c r="X13" s="16" t="n">
        <v>0.0292</v>
      </c>
      <c r="Y13" s="13" t="n">
        <v>1.168</v>
      </c>
      <c r="Z13" s="13" t="n">
        <v>139459.2</v>
      </c>
      <c r="AA13" s="13" t="n">
        <v>0.1335</v>
      </c>
      <c r="AB13" s="13" t="inlineStr">
        <is>
          <t>核心成长层</t>
        </is>
      </c>
      <c r="AC13" s="16" t="n">
        <v>-0.0065</v>
      </c>
      <c r="AD13" s="13" t="inlineStr">
        <is>
          <t>持有/观察</t>
        </is>
      </c>
      <c r="AE13" s="16" t="n">
        <v>0.08</v>
      </c>
      <c r="AF13" s="17" t="n">
        <v>382640</v>
      </c>
      <c r="AG13" s="17" t="n">
        <v>139459.2</v>
      </c>
      <c r="AH13" s="9" t="inlineStr">
        <is>
          <t>配置中</t>
        </is>
      </c>
      <c r="AI13" s="9" t="inlineStr">
        <is>
          <t>机器人ETF为核心持有；未确认高位放量回落，持有不加</t>
        </is>
      </c>
      <c r="AJ13" s="13" t="inlineStr">
        <is>
          <t>否</t>
        </is>
      </c>
    </row>
    <row r="14" ht="34" customHeight="1">
      <c r="A14" s="32" t="inlineStr">
        <is>
          <t>灰</t>
        </is>
      </c>
      <c r="B14" s="19" t="inlineStr">
        <is>
          <t>511180</t>
        </is>
      </c>
      <c r="C14" s="20" t="inlineStr">
        <is>
          <t>可转债ETF</t>
        </is>
      </c>
      <c r="D14" s="20" t="inlineStr">
        <is>
          <t>按原持仓规则观察</t>
        </is>
      </c>
      <c r="E14" s="21" t="inlineStr">
        <is>
          <t>未触发减仓或超配条件</t>
        </is>
      </c>
      <c r="F14" s="21" t="n">
        <v>0.0369</v>
      </c>
      <c r="G14" s="21" t="n">
        <v>0.04</v>
      </c>
      <c r="H14" s="21" t="n">
        <v>24</v>
      </c>
      <c r="I14" s="21" t="n">
        <v>0.0005999999999999999</v>
      </c>
      <c r="J14" s="21" t="n">
        <v>38499</v>
      </c>
      <c r="K14" s="25" t="n">
        <v>12.833</v>
      </c>
      <c r="L14" s="21" t="inlineStr">
        <is>
          <t>未纳入专项纪律</t>
        </is>
      </c>
      <c r="M14" s="21" t="inlineStr">
        <is>
          <t>否</t>
        </is>
      </c>
      <c r="N14" s="20" t="inlineStr">
        <is>
          <t>可转债ETF</t>
        </is>
      </c>
      <c r="O14" s="23" t="n">
        <v>439801</v>
      </c>
      <c r="P14" s="22" t="n">
        <v>0.08049132343717333</v>
      </c>
      <c r="Q14" s="21" t="n">
        <v>3000</v>
      </c>
      <c r="R14" s="21" t="n">
        <v>3000</v>
      </c>
      <c r="S14" s="21" t="n">
        <v>12.825</v>
      </c>
      <c r="T14" s="21" t="inlineStr">
        <is>
          <t>券商截图</t>
        </is>
      </c>
      <c r="U14" s="21" t="n">
        <v>-189</v>
      </c>
      <c r="V14" s="21" t="n">
        <v>-0.0049</v>
      </c>
      <c r="W14" s="21" t="n">
        <v>12.825</v>
      </c>
      <c r="X14" s="22" t="n">
        <v>0.008</v>
      </c>
      <c r="Y14" s="21" t="n">
        <v>12.833</v>
      </c>
      <c r="Z14" s="21" t="n">
        <v>38499</v>
      </c>
      <c r="AA14" s="21" t="n">
        <v>0.0369</v>
      </c>
      <c r="AB14" s="21" t="inlineStr">
        <is>
          <t>弹性低波层</t>
        </is>
      </c>
      <c r="AC14" s="22" t="n">
        <v>-0.0031</v>
      </c>
      <c r="AD14" s="21" t="inlineStr">
        <is>
          <t>持有/观察</t>
        </is>
      </c>
      <c r="AE14" s="22" t="n">
        <v>0.1</v>
      </c>
      <c r="AF14" s="23" t="n">
        <v>478300</v>
      </c>
      <c r="AG14" s="23" t="n">
        <v>38499</v>
      </c>
      <c r="AH14" s="20" t="inlineStr">
        <is>
          <t>配置中</t>
        </is>
      </c>
      <c r="AI14" s="20" t="inlineStr">
        <is>
          <t>未命中专项纪律，按原持仓规则观察</t>
        </is>
      </c>
      <c r="AJ14" s="21" t="inlineStr">
        <is>
          <t>否</t>
        </is>
      </c>
    </row>
  </sheetData>
  <autoFilter ref="A1:AJ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46" customWidth="1" min="17" max="17"/>
    <col width="22" customWidth="1" min="18" max="18"/>
    <col width="14" customWidth="1" min="19" max="19"/>
  </cols>
  <sheetData>
    <row r="1">
      <c r="A1" s="12" t="inlineStr">
        <is>
          <t>配置键</t>
        </is>
      </c>
      <c r="B1" s="12" t="inlineStr">
        <is>
          <t>配置项</t>
        </is>
      </c>
      <c r="C1" s="12" t="inlineStr">
        <is>
          <t>资产层级</t>
        </is>
      </c>
      <c r="D1" s="12" t="inlineStr">
        <is>
          <t>映射代码</t>
        </is>
      </c>
      <c r="E1" s="12" t="inlineStr">
        <is>
          <t>年度目标占比</t>
        </is>
      </c>
      <c r="F1" s="12" t="inlineStr">
        <is>
          <t>配置表目标金额</t>
        </is>
      </c>
      <c r="G1" s="12" t="inlineStr">
        <is>
          <t>按当前全资产目标金额</t>
        </is>
      </c>
      <c r="H1" s="12" t="inlineStr">
        <is>
          <t>最新持仓金额</t>
        </is>
      </c>
      <c r="I1" s="12" t="inlineStr">
        <is>
          <t>配置表当前金额约</t>
        </is>
      </c>
      <c r="J1" s="12" t="inlineStr">
        <is>
          <t>年度资金缺口</t>
        </is>
      </c>
      <c r="K1" s="12" t="inlineStr">
        <is>
          <t>年度完成率</t>
        </is>
      </c>
      <c r="L1" s="12" t="inlineStr">
        <is>
          <t>当前全资产占比</t>
        </is>
      </c>
      <c r="M1" s="12" t="inlineStr">
        <is>
          <t>目标收益下限</t>
        </is>
      </c>
      <c r="N1" s="12" t="inlineStr">
        <is>
          <t>目标收益上限</t>
        </is>
      </c>
      <c r="O1" s="12" t="inlineStr">
        <is>
          <t>配置状态</t>
        </is>
      </c>
      <c r="P1" s="12" t="inlineStr">
        <is>
          <t>进度状态</t>
        </is>
      </c>
      <c r="Q1" s="12" t="inlineStr">
        <is>
          <t>执行约束</t>
        </is>
      </c>
      <c r="R1" s="12" t="inlineStr">
        <is>
          <t>来源</t>
        </is>
      </c>
      <c r="S1" s="12" t="inlineStr">
        <is>
          <t>来源日期</t>
        </is>
      </c>
    </row>
    <row r="2">
      <c r="A2" s="13" t="inlineStr">
        <is>
          <t>semiconductor</t>
        </is>
      </c>
      <c r="B2" s="9" t="inlineStr">
        <is>
          <t>半导体设备ETF 159516</t>
        </is>
      </c>
      <c r="C2" s="9" t="inlineStr">
        <is>
          <t>第一核心成长</t>
        </is>
      </c>
      <c r="D2" s="9" t="inlineStr">
        <is>
          <t>159516</t>
        </is>
      </c>
      <c r="E2" s="16" t="n">
        <v>0.08</v>
      </c>
      <c r="F2" s="17" t="n">
        <v>384000</v>
      </c>
      <c r="G2" s="17" t="n">
        <v>382640</v>
      </c>
      <c r="H2" s="17" t="n">
        <v>60640</v>
      </c>
      <c r="I2" s="17" t="n">
        <v>60800</v>
      </c>
      <c r="J2" s="17" t="n">
        <v>322000</v>
      </c>
      <c r="K2" s="16" t="n">
        <v>0.158477942713778</v>
      </c>
      <c r="L2" s="16" t="n">
        <v>0.01267823541710224</v>
      </c>
      <c r="M2" s="16" t="n">
        <v>0.2</v>
      </c>
      <c r="N2" s="16" t="n">
        <v>0.3</v>
      </c>
      <c r="O2" s="13" t="inlineStr">
        <is>
          <t>按分析结果调整</t>
        </is>
      </c>
      <c r="P2" s="9" t="inlineStr">
        <is>
          <t>配置中</t>
        </is>
      </c>
      <c r="Q2" s="9" t="inlineStr">
        <is>
          <t>完整质量评分+双锚+情绪+六项买点+证券账户上限</t>
        </is>
      </c>
      <c r="R2" s="9" t="inlineStr">
        <is>
          <t>1st年配置表.xlsx</t>
        </is>
      </c>
      <c r="S2" s="13" t="inlineStr">
        <is>
          <t>原表未标注</t>
        </is>
      </c>
    </row>
    <row r="3">
      <c r="A3" s="13" t="inlineStr">
        <is>
          <t>robotics</t>
        </is>
      </c>
      <c r="B3" s="9" t="inlineStr">
        <is>
          <t>机器人ETF 562500</t>
        </is>
      </c>
      <c r="C3" s="9" t="inlineStr">
        <is>
          <t>核心成长</t>
        </is>
      </c>
      <c r="D3" s="9" t="inlineStr">
        <is>
          <t>562500</t>
        </is>
      </c>
      <c r="E3" s="16" t="n">
        <v>0.08</v>
      </c>
      <c r="F3" s="17" t="n">
        <v>384000</v>
      </c>
      <c r="G3" s="17" t="n">
        <v>382640</v>
      </c>
      <c r="H3" s="17" t="n">
        <v>139459.2</v>
      </c>
      <c r="I3" s="17" t="n">
        <v>139700</v>
      </c>
      <c r="J3" s="17" t="n">
        <v>243180.8</v>
      </c>
      <c r="K3" s="16" t="n">
        <v>0.364465816433201</v>
      </c>
      <c r="L3" s="16" t="n">
        <v>0.02915726531465608</v>
      </c>
      <c r="M3" s="16" t="n">
        <v>0.18</v>
      </c>
      <c r="N3" s="16" t="n">
        <v>0.25</v>
      </c>
      <c r="O3" s="13" t="inlineStr">
        <is>
          <t>按分析结果调整</t>
        </is>
      </c>
      <c r="P3" s="9" t="inlineStr">
        <is>
          <t>配置中</t>
        </is>
      </c>
      <c r="Q3" s="9" t="inlineStr">
        <is>
          <t>完整质量评分+持有不加纪律+证券账户上限</t>
        </is>
      </c>
      <c r="R3" s="9" t="inlineStr">
        <is>
          <t>1st年配置表.xlsx</t>
        </is>
      </c>
      <c r="S3" s="13" t="inlineStr">
        <is>
          <t>原表未标注</t>
        </is>
      </c>
    </row>
    <row r="4">
      <c r="A4" s="13" t="inlineStr">
        <is>
          <t>chinext_ai</t>
        </is>
      </c>
      <c r="B4" s="9" t="inlineStr">
        <is>
          <t>创业板人工智能ETF 159381</t>
        </is>
      </c>
      <c r="C4" s="9" t="inlineStr">
        <is>
          <t>核心成长</t>
        </is>
      </c>
      <c r="D4" s="9" t="inlineStr">
        <is>
          <t>159381</t>
        </is>
      </c>
      <c r="E4" s="16" t="n">
        <v>0.06</v>
      </c>
      <c r="F4" s="17" t="n">
        <v>288000</v>
      </c>
      <c r="G4" s="17" t="n">
        <v>286980</v>
      </c>
      <c r="H4" s="17" t="n">
        <v>21675</v>
      </c>
      <c r="I4" s="17" t="n">
        <v>21900</v>
      </c>
      <c r="J4" s="17" t="n">
        <v>265305</v>
      </c>
      <c r="K4" s="16" t="n">
        <v>0.07552791135270751</v>
      </c>
      <c r="L4" s="16" t="n">
        <v>0.004531674681162451</v>
      </c>
      <c r="M4" s="16" t="n">
        <v>0.2</v>
      </c>
      <c r="N4" s="16" t="n">
        <v>0.3</v>
      </c>
      <c r="O4" s="13" t="inlineStr">
        <is>
          <t>按分析结果调整</t>
        </is>
      </c>
      <c r="P4" s="9" t="inlineStr">
        <is>
          <t>配置中</t>
        </is>
      </c>
      <c r="Q4" s="9" t="inlineStr">
        <is>
          <t>完整质量评分+双锚+情绪+六项买点+证券账户上限</t>
        </is>
      </c>
      <c r="R4" s="9" t="inlineStr">
        <is>
          <t>1st年配置表.xlsx</t>
        </is>
      </c>
      <c r="S4" s="13" t="inlineStr">
        <is>
          <t>原表未标注</t>
        </is>
      </c>
    </row>
    <row r="5">
      <c r="A5" s="13" t="inlineStr">
        <is>
          <t>innovative_medicine</t>
        </is>
      </c>
      <c r="B5" s="9" t="inlineStr">
        <is>
          <t>创新药ETF</t>
        </is>
      </c>
      <c r="C5" s="9" t="inlineStr">
        <is>
          <t>核心观察</t>
        </is>
      </c>
      <c r="D5" s="9" t="inlineStr">
        <is>
          <t>588700</t>
        </is>
      </c>
      <c r="E5" s="16" t="n">
        <v>0.02</v>
      </c>
      <c r="F5" s="17" t="n">
        <v>96000</v>
      </c>
      <c r="G5" s="17" t="n">
        <v>95660</v>
      </c>
      <c r="H5" s="17" t="n">
        <v>0</v>
      </c>
      <c r="I5" s="17" t="n">
        <v>0</v>
      </c>
      <c r="J5" s="17" t="n">
        <v>95660</v>
      </c>
      <c r="K5" s="16" t="n">
        <v>0</v>
      </c>
      <c r="L5" s="16" t="n">
        <v>0</v>
      </c>
      <c r="M5" s="16" t="n">
        <v>0.15</v>
      </c>
      <c r="N5" s="16" t="n">
        <v>0.25</v>
      </c>
      <c r="O5" s="13" t="inlineStr">
        <is>
          <t>待建仓</t>
        </is>
      </c>
      <c r="P5" s="9" t="inlineStr">
        <is>
          <t>配置中</t>
        </is>
      </c>
      <c r="Q5" s="9" t="inlineStr">
        <is>
          <t>四证据模型+价格提醒后二次确认+证券账户上限</t>
        </is>
      </c>
      <c r="R5" s="9" t="inlineStr">
        <is>
          <t>1st年配置表.xlsx</t>
        </is>
      </c>
      <c r="S5" s="13" t="inlineStr">
        <is>
          <t>原表未标注</t>
        </is>
      </c>
    </row>
    <row r="6">
      <c r="A6" s="13" t="inlineStr">
        <is>
          <t>new_energy_legacy</t>
        </is>
      </c>
      <c r="B6" s="9" t="inlineStr">
        <is>
          <t>比亚迪+绿电+储能</t>
        </is>
      </c>
      <c r="C6" s="9" t="inlineStr">
        <is>
          <t>非核心成长保留</t>
        </is>
      </c>
      <c r="D6" s="9" t="inlineStr">
        <is>
          <t>002594、562550、159566</t>
        </is>
      </c>
      <c r="E6" s="16" t="n">
        <v>0.03</v>
      </c>
      <c r="F6" s="17" t="n">
        <v>144000</v>
      </c>
      <c r="G6" s="17" t="n">
        <v>143490</v>
      </c>
      <c r="H6" s="17" t="n">
        <v>191942.4</v>
      </c>
      <c r="I6" s="17" t="n">
        <v>191200</v>
      </c>
      <c r="J6" s="17" t="n">
        <v>-48452.39999999999</v>
      </c>
      <c r="K6" s="16" t="n">
        <v>1.337670917833995</v>
      </c>
      <c r="L6" s="16" t="n">
        <v>0.04013012753501986</v>
      </c>
      <c r="M6" s="16" t="n">
        <v>0.08</v>
      </c>
      <c r="N6" s="16" t="n">
        <v>0.15</v>
      </c>
      <c r="O6" s="13" t="inlineStr">
        <is>
          <t>按分析结果调整</t>
        </is>
      </c>
      <c r="P6" s="9" t="inlineStr">
        <is>
          <t>达到或超过年度目标</t>
        </is>
      </c>
      <c r="Q6" s="9" t="inlineStr">
        <is>
          <t>遗留仓不加仓；以压降和结构优化为主</t>
        </is>
      </c>
      <c r="R6" s="9" t="inlineStr">
        <is>
          <t>1st年配置表.xlsx</t>
        </is>
      </c>
      <c r="S6" s="13" t="inlineStr">
        <is>
          <t>原表未标注</t>
        </is>
      </c>
    </row>
    <row r="7">
      <c r="A7" s="13" t="inlineStr">
        <is>
          <t>cloud_transition</t>
        </is>
      </c>
      <c r="B7" s="9" t="inlineStr">
        <is>
          <t>云计算ETF</t>
        </is>
      </c>
      <c r="C7" s="9" t="inlineStr">
        <is>
          <t>观察/过渡仓</t>
        </is>
      </c>
      <c r="D7" s="9" t="inlineStr">
        <is>
          <t>516630</t>
        </is>
      </c>
      <c r="E7" s="16" t="n">
        <v>0.03</v>
      </c>
      <c r="F7" s="17" t="n">
        <v>144000</v>
      </c>
      <c r="G7" s="17" t="n">
        <v>143490</v>
      </c>
      <c r="H7" s="17" t="n">
        <v>63344</v>
      </c>
      <c r="I7" s="17" t="n">
        <v>63500</v>
      </c>
      <c r="J7" s="17" t="n">
        <v>80146</v>
      </c>
      <c r="K7" s="16" t="n">
        <v>0.4414523660185379</v>
      </c>
      <c r="L7" s="16" t="n">
        <v>0.01324357098055614</v>
      </c>
      <c r="M7" s="16" t="n">
        <v>0.08</v>
      </c>
      <c r="N7" s="16" t="n">
        <v>0.15</v>
      </c>
      <c r="O7" s="13" t="inlineStr">
        <is>
          <t>按分析结果调整</t>
        </is>
      </c>
      <c r="P7" s="9" t="inlineStr">
        <is>
          <t>配置中</t>
        </is>
      </c>
      <c r="Q7" s="9" t="inlineStr">
        <is>
          <t>战术仓纪律+完整质量评分+证券账户上限</t>
        </is>
      </c>
      <c r="R7" s="9" t="inlineStr">
        <is>
          <t>1st年配置表.xlsx</t>
        </is>
      </c>
      <c r="S7" s="13" t="inlineStr">
        <is>
          <t>原表未标注</t>
        </is>
      </c>
    </row>
    <row r="8">
      <c r="A8" s="13" t="inlineStr">
        <is>
          <t>a500_low_vol</t>
        </is>
      </c>
      <c r="B8" s="9" t="inlineStr">
        <is>
          <t>中证A500ETF</t>
        </is>
      </c>
      <c r="C8" s="9" t="inlineStr">
        <is>
          <t>低波权益</t>
        </is>
      </c>
      <c r="D8" s="9" t="inlineStr">
        <is>
          <t>159338、510210</t>
        </is>
      </c>
      <c r="E8" s="16" t="n">
        <v>0.08</v>
      </c>
      <c r="F8" s="17" t="n">
        <v>384000</v>
      </c>
      <c r="G8" s="17" t="n">
        <v>382640</v>
      </c>
      <c r="H8" s="17" t="n">
        <v>109274.2</v>
      </c>
      <c r="I8" s="17" t="n">
        <v>109300</v>
      </c>
      <c r="J8" s="17" t="n">
        <v>273365.8</v>
      </c>
      <c r="K8" s="16" t="n">
        <v>0.285579657118963</v>
      </c>
      <c r="L8" s="16" t="n">
        <v>0.02284637256951704</v>
      </c>
      <c r="M8" s="16" t="n">
        <v>0.06</v>
      </c>
      <c r="N8" s="16" t="n">
        <v>0.1</v>
      </c>
      <c r="O8" s="13" t="inlineStr">
        <is>
          <t>按分析结果调整</t>
        </is>
      </c>
      <c r="P8" s="9" t="inlineStr">
        <is>
          <t>配置中</t>
        </is>
      </c>
      <c r="Q8" s="9" t="inlineStr">
        <is>
          <t>宽基合并统计；避免A500与上证ETF重复暴露</t>
        </is>
      </c>
      <c r="R8" s="9" t="inlineStr">
        <is>
          <t>1st年配置表.xlsx</t>
        </is>
      </c>
      <c r="S8" s="13" t="inlineStr">
        <is>
          <t>原表未标注</t>
        </is>
      </c>
    </row>
    <row r="9">
      <c r="A9" s="13" t="inlineStr">
        <is>
          <t>dividend_low_vol</t>
        </is>
      </c>
      <c r="B9" s="9" t="inlineStr">
        <is>
          <t>红利低波ETF</t>
        </is>
      </c>
      <c r="C9" s="9" t="inlineStr">
        <is>
          <t>低波权益</t>
        </is>
      </c>
      <c r="D9" s="9" t="inlineStr">
        <is>
          <t>512890</t>
        </is>
      </c>
      <c r="E9" s="16" t="n">
        <v>0.05</v>
      </c>
      <c r="F9" s="17" t="n">
        <v>240000</v>
      </c>
      <c r="G9" s="17" t="n">
        <v>239150</v>
      </c>
      <c r="H9" s="17" t="n">
        <v>42370</v>
      </c>
      <c r="I9" s="17" t="n">
        <v>42400</v>
      </c>
      <c r="J9" s="17" t="n">
        <v>196780</v>
      </c>
      <c r="K9" s="16" t="n">
        <v>0.1771691407066694</v>
      </c>
      <c r="L9" s="16" t="n">
        <v>0.008858457035333472</v>
      </c>
      <c r="M9" s="16" t="n">
        <v>0.05</v>
      </c>
      <c r="N9" s="16" t="n">
        <v>0.08</v>
      </c>
      <c r="O9" s="13" t="inlineStr">
        <is>
          <t>按分析结果调整</t>
        </is>
      </c>
      <c r="P9" s="9" t="inlineStr">
        <is>
          <t>配置中</t>
        </is>
      </c>
      <c r="Q9" s="9" t="inlineStr">
        <is>
          <t>不计入现金安全垫；遵守买点与账户上限</t>
        </is>
      </c>
      <c r="R9" s="9" t="inlineStr">
        <is>
          <t>1st年配置表.xlsx</t>
        </is>
      </c>
      <c r="S9" s="13" t="inlineStr">
        <is>
          <t>原表未标注</t>
        </is>
      </c>
    </row>
    <row r="10">
      <c r="A10" s="13" t="inlineStr">
        <is>
          <t>convertible_bond</t>
        </is>
      </c>
      <c r="B10" s="9" t="inlineStr">
        <is>
          <t>可转债ETF</t>
        </is>
      </c>
      <c r="C10" s="9" t="inlineStr">
        <is>
          <t>弹性低波</t>
        </is>
      </c>
      <c r="D10" s="9" t="inlineStr">
        <is>
          <t>511180</t>
        </is>
      </c>
      <c r="E10" s="16" t="n">
        <v>0.1</v>
      </c>
      <c r="F10" s="17" t="n">
        <v>480000</v>
      </c>
      <c r="G10" s="17" t="n">
        <v>478300</v>
      </c>
      <c r="H10" s="17" t="n">
        <v>38499</v>
      </c>
      <c r="I10" s="17" t="n">
        <v>38400</v>
      </c>
      <c r="J10" s="17" t="n">
        <v>439801</v>
      </c>
      <c r="K10" s="16" t="n">
        <v>0.08049132343717333</v>
      </c>
      <c r="L10" s="16" t="n">
        <v>0.008049132343717333</v>
      </c>
      <c r="M10" s="16" t="n">
        <v>0.06</v>
      </c>
      <c r="N10" s="16" t="n">
        <v>0.1</v>
      </c>
      <c r="O10" s="13" t="inlineStr">
        <is>
          <t>按分析结果调整</t>
        </is>
      </c>
      <c r="P10" s="9" t="inlineStr">
        <is>
          <t>配置中</t>
        </is>
      </c>
      <c r="Q10" s="9" t="inlineStr">
        <is>
          <t>不计入现金安全垫；分批配置</t>
        </is>
      </c>
      <c r="R10" s="9" t="inlineStr">
        <is>
          <t>1st年配置表.xlsx</t>
        </is>
      </c>
      <c r="S10" s="13" t="inlineStr">
        <is>
          <t>原表未标注</t>
        </is>
      </c>
    </row>
    <row r="11">
      <c r="A11" s="13" t="inlineStr">
        <is>
          <t>tactical_opportunity</t>
        </is>
      </c>
      <c r="B11" s="9" t="inlineStr">
        <is>
          <t>战术机会仓</t>
        </is>
      </c>
      <c r="C11" s="9" t="inlineStr">
        <is>
          <t>战术仓</t>
        </is>
      </c>
      <c r="D11" s="9" t="inlineStr">
        <is>
          <t>待选</t>
        </is>
      </c>
      <c r="E11" s="16" t="n">
        <v>0.03</v>
      </c>
      <c r="F11" s="17" t="n">
        <v>144000</v>
      </c>
      <c r="G11" s="17" t="n">
        <v>143490</v>
      </c>
      <c r="H11" s="17" t="n">
        <v>0</v>
      </c>
      <c r="I11" s="17" t="n">
        <v>0</v>
      </c>
      <c r="J11" s="17" t="n">
        <v>143490</v>
      </c>
      <c r="K11" s="16" t="n">
        <v>0</v>
      </c>
      <c r="L11" s="16" t="n">
        <v>0</v>
      </c>
      <c r="M11" s="16" t="n">
        <v>0.15</v>
      </c>
      <c r="N11" s="16" t="n">
        <v>0.3</v>
      </c>
      <c r="O11" s="13" t="inlineStr">
        <is>
          <t>待建仓</t>
        </is>
      </c>
      <c r="P11" s="9" t="inlineStr">
        <is>
          <t>待选择合格标的</t>
        </is>
      </c>
      <c r="Q11" s="9" t="inlineStr">
        <is>
          <t>单日仅一个买入方向；严格止损与退出</t>
        </is>
      </c>
      <c r="R11" s="9" t="inlineStr">
        <is>
          <t>1st年配置表.xlsx</t>
        </is>
      </c>
      <c r="S11" s="13" t="inlineStr">
        <is>
          <t>原表未标注</t>
        </is>
      </c>
    </row>
    <row r="12">
      <c r="A12" s="13" t="inlineStr">
        <is>
          <t>quality_stock_basket</t>
        </is>
      </c>
      <c r="B12" s="9" t="inlineStr">
        <is>
          <t>AI/半导体高质量个股篮子</t>
        </is>
      </c>
      <c r="C12" s="9" t="inlineStr">
        <is>
          <t>战略成长</t>
        </is>
      </c>
      <c r="D12" s="9" t="inlineStr">
        <is>
          <t>待选</t>
        </is>
      </c>
      <c r="E12" s="16" t="n">
        <v>0.02</v>
      </c>
      <c r="F12" s="17" t="n">
        <v>96000</v>
      </c>
      <c r="G12" s="17" t="n">
        <v>95660</v>
      </c>
      <c r="H12" s="17" t="n">
        <v>0</v>
      </c>
      <c r="I12" s="17" t="n">
        <v>0</v>
      </c>
      <c r="J12" s="17" t="n">
        <v>95660</v>
      </c>
      <c r="K12" s="16" t="n">
        <v>0</v>
      </c>
      <c r="L12" s="16" t="n">
        <v>0</v>
      </c>
      <c r="M12" s="16" t="n">
        <v>0.25</v>
      </c>
      <c r="N12" s="16" t="n">
        <v>0.35</v>
      </c>
      <c r="O12" s="13" t="inlineStr">
        <is>
          <t>待建仓</t>
        </is>
      </c>
      <c r="P12" s="9" t="inlineStr">
        <is>
          <t>待选择合格标的</t>
        </is>
      </c>
      <c r="Q12" s="9" t="inlineStr">
        <is>
          <t>个股质量评分≥8；单股穿透与止损上限</t>
        </is>
      </c>
      <c r="R12" s="9" t="inlineStr">
        <is>
          <t>1st年配置表.xlsx</t>
        </is>
      </c>
      <c r="S12" s="13" t="inlineStr">
        <is>
          <t>原表未标注</t>
        </is>
      </c>
    </row>
  </sheetData>
  <autoFilter ref="A1:S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</cols>
  <sheetData>
    <row r="1">
      <c r="A1" s="12" t="inlineStr">
        <is>
          <t>项目</t>
        </is>
      </c>
      <c r="B1" s="12" t="inlineStr">
        <is>
          <t>内容</t>
        </is>
      </c>
    </row>
    <row r="2">
      <c r="A2" s="13" t="inlineStr">
        <is>
          <t>版本</t>
        </is>
      </c>
      <c r="B2" s="13" t="inlineStr">
        <is>
          <t>V2.8.5 ETF / A股统一投资决策仪表盘</t>
        </is>
      </c>
    </row>
    <row r="3">
      <c r="A3" s="13" t="inlineStr">
        <is>
          <t>生成时间</t>
        </is>
      </c>
      <c r="B3" s="13" t="inlineStr">
        <is>
          <t>2026-06-20 16:08:19</t>
        </is>
      </c>
    </row>
    <row r="4">
      <c r="A4" s="13" t="inlineStr">
        <is>
          <t>行情数据时间</t>
        </is>
      </c>
      <c r="B4" s="13" t="inlineStr">
        <is>
          <t>未取到当日接口时间</t>
        </is>
      </c>
    </row>
    <row r="5">
      <c r="A5" s="13" t="inlineStr">
        <is>
          <t>行情来源统计</t>
        </is>
      </c>
      <c r="B5" s="13" t="inlineStr">
        <is>
          <t>券商截图:20</t>
        </is>
      </c>
    </row>
    <row r="6">
      <c r="A6" s="13" t="inlineStr">
        <is>
          <t>说明</t>
        </is>
      </c>
      <c r="B6" s="13" t="inlineStr">
        <is>
          <t>本程序只做纪律提醒，不连接券商、不下单、不自动交易。</t>
        </is>
      </c>
    </row>
    <row r="7">
      <c r="A7" s="13" t="inlineStr">
        <is>
          <t>双锚综合</t>
        </is>
      </c>
      <c r="B7" s="13" t="inlineStr">
        <is>
          <t>观察</t>
        </is>
      </c>
    </row>
    <row r="8">
      <c r="A8" s="13" t="inlineStr">
        <is>
          <t>情绪温度</t>
        </is>
      </c>
      <c r="B8" s="13" t="n">
        <v>1</v>
      </c>
    </row>
    <row r="9">
      <c r="A9" s="13" t="inlineStr">
        <is>
          <t>情绪数据可靠性</t>
        </is>
      </c>
      <c r="B9" s="13" t="inlineStr">
        <is>
          <t>低（观察池代理）</t>
        </is>
      </c>
    </row>
    <row r="10">
      <c r="A10" s="13" t="inlineStr">
        <is>
          <t>标准首批候选数</t>
        </is>
      </c>
      <c r="B10" s="13" t="n">
        <v>0</v>
      </c>
    </row>
    <row r="11">
      <c r="A11" s="13" t="inlineStr">
        <is>
          <t>半额首批复核数</t>
        </is>
      </c>
      <c r="B11" s="13" t="n">
        <v>0</v>
      </c>
    </row>
    <row r="12">
      <c r="A12" s="13" t="inlineStr">
        <is>
          <t>质量门槛可用标的数</t>
        </is>
      </c>
      <c r="B12" s="13" t="n">
        <v>0</v>
      </c>
    </row>
    <row r="13">
      <c r="A13" s="13" t="inlineStr">
        <is>
          <t>质量评分待补标的数</t>
        </is>
      </c>
      <c r="B13" s="13" t="n">
        <v>14</v>
      </c>
    </row>
    <row r="14">
      <c r="A14" s="13" t="inlineStr">
        <is>
          <t>第一年配置目标占比</t>
        </is>
      </c>
      <c r="B14" s="16" t="n">
        <v>0.5800000000000001</v>
      </c>
    </row>
    <row r="15">
      <c r="A15" s="13" t="inlineStr">
        <is>
          <t>第一年当前已配置占比</t>
        </is>
      </c>
      <c r="B15" s="16" t="n">
        <v>0.1394948358770646</v>
      </c>
    </row>
    <row r="16">
      <c r="A16" s="13" t="inlineStr">
        <is>
          <t>第一年配置完成率</t>
        </is>
      </c>
      <c r="B16" s="16" t="n">
        <v>0.2405083377190769</v>
      </c>
    </row>
    <row r="17">
      <c r="A17" s="13" t="inlineStr">
        <is>
          <t>第一年动态目标金额</t>
        </is>
      </c>
      <c r="B17" s="17" t="n">
        <v>2774140</v>
      </c>
    </row>
    <row r="18">
      <c r="A18" s="13" t="inlineStr">
        <is>
          <t>第一年当前映射金额</t>
        </is>
      </c>
      <c r="B18" s="17" t="n">
        <v>667203.8</v>
      </c>
    </row>
    <row r="19">
      <c r="A19" s="13" t="inlineStr">
        <is>
          <t>第一年资金缺口</t>
        </is>
      </c>
      <c r="B19" s="17" t="n">
        <v>2106936.2</v>
      </c>
    </row>
    <row r="20">
      <c r="A20" s="13" t="inlineStr">
        <is>
          <t>第一年未配置目标占比</t>
        </is>
      </c>
      <c r="B20" s="16" t="n">
        <v>0.4199999999999999</v>
      </c>
    </row>
    <row r="21">
      <c r="A21" s="13" t="inlineStr">
        <is>
          <t>证券账户总资产</t>
        </is>
      </c>
      <c r="B21" s="17" t="n">
        <v>1044641.11</v>
      </c>
    </row>
    <row r="22">
      <c r="A22" s="13" t="inlineStr">
        <is>
          <t>全资产总额</t>
        </is>
      </c>
      <c r="B22" s="17" t="n">
        <v>4783000</v>
      </c>
    </row>
    <row r="23">
      <c r="A23" s="13" t="inlineStr">
        <is>
          <t>券商截图总市值</t>
        </is>
      </c>
      <c r="B23" s="17" t="n">
        <v>779034.22</v>
      </c>
    </row>
    <row r="24">
      <c r="A24" s="13" t="inlineStr">
        <is>
          <t>券商截图今日盈亏</t>
        </is>
      </c>
      <c r="B24" s="17" t="n">
        <v>4636.63</v>
      </c>
    </row>
    <row r="25">
      <c r="A25" s="13" t="inlineStr">
        <is>
          <t>券商截图持仓收益</t>
        </is>
      </c>
      <c r="B25" s="17" t="n">
        <v>-69979.7</v>
      </c>
    </row>
    <row r="26">
      <c r="A26" s="13" t="inlineStr">
        <is>
          <t>券商截图可用资金</t>
        </is>
      </c>
      <c r="B26" s="17" t="n">
        <v>251305.47</v>
      </c>
    </row>
    <row r="27">
      <c r="A27" s="13" t="inlineStr">
        <is>
          <t>券商截图可取资金</t>
        </is>
      </c>
      <c r="B27" s="17" t="n">
        <v>1</v>
      </c>
    </row>
    <row r="28">
      <c r="A28" s="13" t="inlineStr">
        <is>
          <t>券商截图总仓位</t>
        </is>
      </c>
      <c r="B28" s="16" t="n">
        <v>0.7457</v>
      </c>
    </row>
    <row r="29">
      <c r="A29" s="13" t="inlineStr">
        <is>
          <t>全资产权益穿透仓位</t>
        </is>
      </c>
      <c r="B29" s="16" t="n">
        <v>0.1628756470834204</v>
      </c>
    </row>
    <row r="30">
      <c r="A30" s="13" t="inlineStr">
        <is>
          <t>证券账户可用现金比例</t>
        </is>
      </c>
      <c r="B30" s="16" t="n">
        <v>0.2405663223420338</v>
      </c>
    </row>
    <row r="31">
      <c r="A31" s="13" t="inlineStr">
        <is>
          <t>全资产流动性安全垫代理</t>
        </is>
      </c>
      <c r="B31" s="17" t="n">
        <v>307860.67</v>
      </c>
    </row>
    <row r="32">
      <c r="A32" s="13" t="inlineStr">
        <is>
          <t>其中：证券可用现金</t>
        </is>
      </c>
      <c r="B32" s="17" t="n">
        <v>251305.47</v>
      </c>
    </row>
    <row r="33">
      <c r="A33" s="13" t="inlineStr">
        <is>
          <t>其中：国债ETF市值</t>
        </is>
      </c>
      <c r="B33" s="17" t="n">
        <v>56555.2</v>
      </c>
    </row>
    <row r="34">
      <c r="A34" s="13" t="inlineStr">
        <is>
          <t>现金安全垫最低值</t>
        </is>
      </c>
      <c r="B34" s="17" t="n">
        <v>300000</v>
      </c>
    </row>
    <row r="35">
      <c r="A35" s="13" t="inlineStr">
        <is>
          <t>现金安全垫目标值</t>
        </is>
      </c>
      <c r="B35" s="17" t="n">
        <v>500000</v>
      </c>
    </row>
    <row r="36">
      <c r="A36" s="13" t="inlineStr">
        <is>
          <t>现金安全垫状态</t>
        </is>
      </c>
      <c r="B36" s="13" t="inlineStr">
        <is>
          <t>达标</t>
        </is>
      </c>
    </row>
    <row r="37">
      <c r="A37" s="13" t="inlineStr">
        <is>
          <t>未取到行情数量</t>
        </is>
      </c>
      <c r="B37" s="13" t="n">
        <v>20</v>
      </c>
    </row>
    <row r="38">
      <c r="A38" s="13" t="inlineStr">
        <is>
          <t>仓位/纪律提醒数量</t>
        </is>
      </c>
      <c r="B38" s="13" t="n">
        <v>8</v>
      </c>
    </row>
  </sheetData>
  <autoFilter ref="A1:B3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2" customWidth="1" min="9" max="9"/>
  </cols>
  <sheetData>
    <row r="1">
      <c r="A1" s="12" t="inlineStr">
        <is>
          <t>锚点</t>
        </is>
      </c>
      <c r="B1" s="12" t="inlineStr">
        <is>
          <t>Code</t>
        </is>
      </c>
      <c r="C1" s="12" t="inlineStr">
        <is>
          <t>指数名称</t>
        </is>
      </c>
      <c r="D1" s="12" t="inlineStr">
        <is>
          <t>最新价</t>
        </is>
      </c>
      <c r="E1" s="12" t="inlineStr">
        <is>
          <t>涨跌幅</t>
        </is>
      </c>
      <c r="F1" s="12" t="inlineStr">
        <is>
          <t>当日最低</t>
        </is>
      </c>
      <c r="G1" s="12" t="inlineStr">
        <is>
          <t>昨日低点</t>
        </is>
      </c>
      <c r="H1" s="12" t="inlineStr">
        <is>
          <t>灯号</t>
        </is>
      </c>
      <c r="I1" s="12" t="inlineStr">
        <is>
          <t>说明</t>
        </is>
      </c>
    </row>
    <row r="2">
      <c r="A2" s="13" t="inlineStr">
        <is>
          <t>总量锚</t>
        </is>
      </c>
      <c r="B2" s="15" t="inlineStr">
        <is>
          <t>000001.SH</t>
        </is>
      </c>
      <c r="C2" s="13" t="inlineStr">
        <is>
          <t>上证综指</t>
        </is>
      </c>
      <c r="D2" s="13" t="n">
        <v/>
      </c>
      <c r="E2" s="13" t="n"/>
      <c r="F2" s="13" t="n"/>
      <c r="G2" s="13" t="n"/>
      <c r="H2" s="13" t="inlineStr">
        <is>
          <t>待确认</t>
        </is>
      </c>
      <c r="I2" s="9" t="inlineStr">
        <is>
          <t>缺少最新价或涨跌幅，无法判灯</t>
        </is>
      </c>
    </row>
    <row r="3">
      <c r="A3" s="13" t="inlineStr">
        <is>
          <t>总量锚</t>
        </is>
      </c>
      <c r="B3" s="15" t="inlineStr">
        <is>
          <t>000300.SH</t>
        </is>
      </c>
      <c r="C3" s="13" t="inlineStr">
        <is>
          <t>沪深300</t>
        </is>
      </c>
      <c r="D3" s="13" t="n">
        <v/>
      </c>
      <c r="E3" s="13" t="n"/>
      <c r="F3" s="13" t="n"/>
      <c r="G3" s="13" t="n"/>
      <c r="H3" s="13" t="inlineStr">
        <is>
          <t>待确认</t>
        </is>
      </c>
      <c r="I3" s="9" t="inlineStr">
        <is>
          <t>缺少最新价或涨跌幅，无法判灯</t>
        </is>
      </c>
    </row>
    <row r="4">
      <c r="A4" s="13" t="inlineStr">
        <is>
          <t>总量锚</t>
        </is>
      </c>
      <c r="B4" s="15" t="inlineStr">
        <is>
          <t>000510.CSI</t>
        </is>
      </c>
      <c r="C4" s="13" t="inlineStr">
        <is>
          <t>中证A500</t>
        </is>
      </c>
      <c r="D4" s="13" t="n">
        <v/>
      </c>
      <c r="E4" s="13" t="n"/>
      <c r="F4" s="13" t="n"/>
      <c r="G4" s="13" t="n"/>
      <c r="H4" s="13" t="inlineStr">
        <is>
          <t>待确认</t>
        </is>
      </c>
      <c r="I4" s="9" t="inlineStr">
        <is>
          <t>缺少最新价或涨跌幅，无法判灯</t>
        </is>
      </c>
    </row>
    <row r="5">
      <c r="A5" s="13" t="inlineStr">
        <is>
          <t>成长锚</t>
        </is>
      </c>
      <c r="B5" s="15" t="inlineStr">
        <is>
          <t>000688.SH</t>
        </is>
      </c>
      <c r="C5" s="13" t="inlineStr">
        <is>
          <t>科创50</t>
        </is>
      </c>
      <c r="D5" s="13" t="n">
        <v/>
      </c>
      <c r="E5" s="13" t="n"/>
      <c r="F5" s="13" t="n"/>
      <c r="G5" s="13" t="n"/>
      <c r="H5" s="13" t="inlineStr">
        <is>
          <t>待确认</t>
        </is>
      </c>
      <c r="I5" s="9" t="inlineStr">
        <is>
          <t>缺少最新价或涨跌幅，无法判灯</t>
        </is>
      </c>
    </row>
    <row r="6">
      <c r="A6" s="13" t="inlineStr">
        <is>
          <t>成长锚</t>
        </is>
      </c>
      <c r="B6" s="15" t="inlineStr">
        <is>
          <t>399006.SZ</t>
        </is>
      </c>
      <c r="C6" s="13" t="inlineStr">
        <is>
          <t>创业板指</t>
        </is>
      </c>
      <c r="D6" s="13" t="n">
        <v/>
      </c>
      <c r="E6" s="13" t="n"/>
      <c r="F6" s="13" t="n"/>
      <c r="G6" s="13" t="n"/>
      <c r="H6" s="13" t="inlineStr">
        <is>
          <t>待确认</t>
        </is>
      </c>
      <c r="I6" s="9" t="inlineStr">
        <is>
          <t>缺少最新价或涨跌幅，无法判灯</t>
        </is>
      </c>
    </row>
    <row r="7">
      <c r="A7" s="13" t="inlineStr">
        <is>
          <t>总量锚综合</t>
        </is>
      </c>
      <c r="B7" s="15" t="inlineStr"/>
      <c r="C7" s="13" t="inlineStr">
        <is>
          <t>上证综指 / 沪深300 / 中证A500</t>
        </is>
      </c>
      <c r="D7" s="13" t="inlineStr"/>
      <c r="E7" s="13" t="inlineStr"/>
      <c r="F7" s="13" t="inlineStr"/>
      <c r="G7" s="13" t="inlineStr"/>
      <c r="H7" s="13" t="inlineStr">
        <is>
          <t>观察</t>
        </is>
      </c>
      <c r="I7" s="9" t="inlineStr">
        <is>
          <t>总量锚观察：上证综指、沪深300、中证A500</t>
        </is>
      </c>
    </row>
    <row r="8">
      <c r="A8" s="13" t="inlineStr">
        <is>
          <t>成长锚综合</t>
        </is>
      </c>
      <c r="B8" s="15" t="inlineStr"/>
      <c r="C8" s="13" t="inlineStr">
        <is>
          <t>科创50 / 创业板指</t>
        </is>
      </c>
      <c r="D8" s="13" t="inlineStr"/>
      <c r="E8" s="13" t="inlineStr"/>
      <c r="F8" s="13" t="inlineStr"/>
      <c r="G8" s="13" t="inlineStr"/>
      <c r="H8" s="13" t="inlineStr">
        <is>
          <t>观察</t>
        </is>
      </c>
      <c r="I8" s="9" t="inlineStr">
        <is>
          <t>成长锚观察：科创50、创业板指</t>
        </is>
      </c>
    </row>
    <row r="9">
      <c r="A9" s="13" t="inlineStr">
        <is>
          <t>综合灯号</t>
        </is>
      </c>
      <c r="B9" s="15" t="inlineStr"/>
      <c r="C9" s="13" t="inlineStr">
        <is>
          <t>双锚综合</t>
        </is>
      </c>
      <c r="D9" s="13" t="inlineStr"/>
      <c r="E9" s="13" t="inlineStr"/>
      <c r="F9" s="13" t="inlineStr"/>
      <c r="G9" s="13" t="inlineStr"/>
      <c r="H9" s="13" t="inlineStr">
        <is>
          <t>观察</t>
        </is>
      </c>
      <c r="I9" s="9" t="inlineStr">
        <is>
          <t>不满足双绿或黄绿条件，继续观察</t>
        </is>
      </c>
    </row>
  </sheetData>
  <autoFilter ref="A1:I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</cols>
  <sheetData>
    <row r="1">
      <c r="A1" s="12" t="inlineStr">
        <is>
          <t>指标</t>
        </is>
      </c>
      <c r="B1" s="12" t="inlineStr">
        <is>
          <t>数值</t>
        </is>
      </c>
      <c r="C1" s="12" t="inlineStr">
        <is>
          <t>状态</t>
        </is>
      </c>
      <c r="D1" s="12" t="inlineStr">
        <is>
          <t>解释</t>
        </is>
      </c>
      <c r="E1" s="12" t="inlineStr">
        <is>
          <t>可靠性</t>
        </is>
      </c>
      <c r="F1" s="12" t="inlineStr">
        <is>
          <t>来源</t>
        </is>
      </c>
    </row>
    <row r="2">
      <c r="A2" s="13" t="inlineStr">
        <is>
          <t>情绪温度</t>
        </is>
      </c>
      <c r="B2" s="13" t="n">
        <v>1</v>
      </c>
      <c r="C2" s="13" t="inlineStr">
        <is>
          <t>冰点</t>
        </is>
      </c>
      <c r="D2" s="13" t="inlineStr">
        <is>
          <t>允许重视，可按买点纪律建仓</t>
        </is>
      </c>
      <c r="E2" s="13" t="inlineStr">
        <is>
          <t>低（观察池代理）</t>
        </is>
      </c>
      <c r="F2" s="9" t="inlineStr">
        <is>
          <t>观察池涨跌与成交节奏</t>
        </is>
      </c>
    </row>
    <row r="3">
      <c r="A3" s="13" t="inlineStr">
        <is>
          <t>观察池代理温度</t>
        </is>
      </c>
      <c r="B3" s="13" t="n">
        <v>1</v>
      </c>
      <c r="C3" s="13" t="inlineStr">
        <is>
          <t>冰点</t>
        </is>
      </c>
      <c r="D3" s="13" t="inlineStr">
        <is>
          <t>仅用于提示，不代表全市场</t>
        </is>
      </c>
      <c r="E3" s="13" t="inlineStr">
        <is>
          <t>低</t>
        </is>
      </c>
      <c r="F3" s="9" t="inlineStr">
        <is>
          <t>观察池</t>
        </is>
      </c>
    </row>
    <row r="4">
      <c r="A4" s="13" t="inlineStr">
        <is>
          <t>上涨广度</t>
        </is>
      </c>
      <c r="B4" s="13" t="n">
        <v/>
      </c>
      <c r="C4" s="13" t="inlineStr">
        <is>
          <t>观察池上涨占比</t>
        </is>
      </c>
      <c r="D4" s="13" t="inlineStr">
        <is>
          <t>代理指标</t>
        </is>
      </c>
      <c r="E4" s="13" t="inlineStr">
        <is>
          <t>低</t>
        </is>
      </c>
      <c r="F4" s="9" t="inlineStr">
        <is>
          <t>观察池</t>
        </is>
      </c>
    </row>
    <row r="5">
      <c r="A5" s="13" t="inlineStr">
        <is>
          <t>涨幅≥3%占比</t>
        </is>
      </c>
      <c r="B5" s="13" t="n">
        <v/>
      </c>
      <c r="C5" s="13" t="inlineStr">
        <is>
          <t>短线热度</t>
        </is>
      </c>
      <c r="D5" s="13" t="inlineStr">
        <is>
          <t>代理指标</t>
        </is>
      </c>
      <c r="E5" s="13" t="inlineStr">
        <is>
          <t>低</t>
        </is>
      </c>
      <c r="F5" s="9" t="inlineStr">
        <is>
          <t>观察池</t>
        </is>
      </c>
    </row>
    <row r="6">
      <c r="A6" s="13" t="inlineStr">
        <is>
          <t>涨跌幅中位数</t>
        </is>
      </c>
      <c r="B6" s="13" t="n">
        <v/>
      </c>
      <c r="C6" s="13" t="inlineStr">
        <is>
          <t>观察池中枢</t>
        </is>
      </c>
      <c r="D6" s="13" t="inlineStr">
        <is>
          <t>百分比点</t>
        </is>
      </c>
      <c r="E6" s="13" t="inlineStr">
        <is>
          <t>低</t>
        </is>
      </c>
      <c r="F6" s="9" t="inlineStr">
        <is>
          <t>观察池</t>
        </is>
      </c>
    </row>
    <row r="7">
      <c r="A7" s="13" t="inlineStr">
        <is>
          <t>时间校正成交节奏</t>
        </is>
      </c>
      <c r="B7" s="13" t="n">
        <v/>
      </c>
      <c r="C7" s="13" t="inlineStr">
        <is>
          <t>相对20日均额</t>
        </is>
      </c>
      <c r="D7" s="13" t="inlineStr">
        <is>
          <t>已按交易时段折算</t>
        </is>
      </c>
      <c r="E7" s="13" t="inlineStr">
        <is>
          <t>中</t>
        </is>
      </c>
      <c r="F7" s="9" t="inlineStr">
        <is>
          <t>行情接口</t>
        </is>
      </c>
    </row>
    <row r="8">
      <c r="A8" s="13" t="inlineStr">
        <is>
          <t>数据边界</t>
        </is>
      </c>
      <c r="B8" s="13" t="n">
        <v/>
      </c>
      <c r="C8" s="13" t="inlineStr">
        <is>
          <t>媒体/社区/ETF申赎/两融/涨停热度待补</t>
        </is>
      </c>
      <c r="D8" s="13" t="inlineStr">
        <is>
          <t>缺失项不参与自动判分</t>
        </is>
      </c>
      <c r="E8" s="13" t="inlineStr">
        <is>
          <t>提示</t>
        </is>
      </c>
      <c r="F8" s="9" t="inlineStr">
        <is>
          <t>decision_inputs.csv</t>
        </is>
      </c>
    </row>
  </sheetData>
  <autoFilter ref="A1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22" customWidth="1" min="9" max="9"/>
    <col width="42" customWidth="1" min="10" max="10"/>
    <col width="42" customWidth="1" min="11" max="11"/>
    <col width="2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8" customWidth="1" min="18" max="18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类型</t>
        </is>
      </c>
      <c r="D1" s="12" t="inlineStr">
        <is>
          <t>主题</t>
        </is>
      </c>
      <c r="E1" s="12" t="inlineStr">
        <is>
          <t>可用原始分</t>
        </is>
      </c>
      <c r="F1" s="12" t="inlineStr">
        <is>
          <t>可用满分</t>
        </is>
      </c>
      <c r="G1" s="12" t="inlineStr">
        <is>
          <t>折算质量分</t>
        </is>
      </c>
      <c r="H1" s="12" t="inlineStr">
        <is>
          <t>数据完整度</t>
        </is>
      </c>
      <c r="I1" s="12" t="inlineStr">
        <is>
          <t>质量状态</t>
        </is>
      </c>
      <c r="J1" s="12" t="inlineStr">
        <is>
          <t>评分明细</t>
        </is>
      </c>
      <c r="K1" s="12" t="inlineStr">
        <is>
          <t>数据边界</t>
        </is>
      </c>
      <c r="L1" s="12" t="inlineStr">
        <is>
          <t>年度配置项</t>
        </is>
      </c>
      <c r="M1" s="12" t="inlineStr">
        <is>
          <t>年度全资产目标</t>
        </is>
      </c>
      <c r="N1" s="12" t="inlineStr">
        <is>
          <t>年度目标金额</t>
        </is>
      </c>
      <c r="O1" s="12" t="inlineStr">
        <is>
          <t>年度组内当前金额</t>
        </is>
      </c>
      <c r="P1" s="12" t="inlineStr">
        <is>
          <t>年度资金缺口</t>
        </is>
      </c>
      <c r="Q1" s="12" t="inlineStr">
        <is>
          <t>年度完成率</t>
        </is>
      </c>
      <c r="R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指数锚点</t>
        </is>
      </c>
      <c r="D2" s="13" t="inlineStr">
        <is>
          <t>防御/宽基</t>
        </is>
      </c>
      <c r="E2" s="13" t="n">
        <v/>
      </c>
      <c r="F2" s="13" t="n">
        <v>0</v>
      </c>
      <c r="G2" s="27" t="n"/>
      <c r="H2" s="33" t="n">
        <v>0</v>
      </c>
      <c r="I2" s="9" t="inlineStr">
        <is>
          <t>不适用</t>
        </is>
      </c>
      <c r="J2" s="9" t="inlineStr">
        <is>
          <t>指数不参与质量准入评分</t>
        </is>
      </c>
      <c r="K2" s="9" t="inlineStr">
        <is>
          <t>代理分不得折算放行；完整人工评分必须同时填写分数与证据</t>
        </is>
      </c>
      <c r="L2" s="9" t="n"/>
      <c r="M2" s="16" t="n">
        <v/>
      </c>
      <c r="N2" s="17" t="n">
        <v/>
      </c>
      <c r="O2" s="17" t="n">
        <v/>
      </c>
      <c r="P2" s="17" t="n">
        <v/>
      </c>
      <c r="Q2" s="16" t="n">
        <v/>
      </c>
      <c r="R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指数锚点</t>
        </is>
      </c>
      <c r="D3" s="13" t="inlineStr">
        <is>
          <t>其他</t>
        </is>
      </c>
      <c r="E3" s="13" t="n">
        <v/>
      </c>
      <c r="F3" s="13" t="n">
        <v>0</v>
      </c>
      <c r="G3" s="27" t="n"/>
      <c r="H3" s="33" t="n">
        <v>0</v>
      </c>
      <c r="I3" s="9" t="inlineStr">
        <is>
          <t>不适用</t>
        </is>
      </c>
      <c r="J3" s="9" t="inlineStr">
        <is>
          <t>指数不参与质量准入评分</t>
        </is>
      </c>
      <c r="K3" s="9" t="inlineStr">
        <is>
          <t>代理分不得折算放行；完整人工评分必须同时填写分数与证据</t>
        </is>
      </c>
      <c r="L3" s="9" t="n"/>
      <c r="M3" s="16" t="n">
        <v/>
      </c>
      <c r="N3" s="17" t="n">
        <v/>
      </c>
      <c r="O3" s="17" t="n">
        <v/>
      </c>
      <c r="P3" s="17" t="n">
        <v/>
      </c>
      <c r="Q3" s="16" t="n">
        <v/>
      </c>
      <c r="R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指数锚点</t>
        </is>
      </c>
      <c r="D4" s="13" t="inlineStr">
        <is>
          <t>防御/宽基</t>
        </is>
      </c>
      <c r="E4" s="13" t="n">
        <v/>
      </c>
      <c r="F4" s="13" t="n">
        <v>0</v>
      </c>
      <c r="G4" s="27" t="n"/>
      <c r="H4" s="33" t="n">
        <v>0</v>
      </c>
      <c r="I4" s="9" t="inlineStr">
        <is>
          <t>不适用</t>
        </is>
      </c>
      <c r="J4" s="9" t="inlineStr">
        <is>
          <t>指数不参与质量准入评分</t>
        </is>
      </c>
      <c r="K4" s="9" t="inlineStr">
        <is>
          <t>代理分不得折算放行；完整人工评分必须同时填写分数与证据</t>
        </is>
      </c>
      <c r="L4" s="9" t="n"/>
      <c r="M4" s="16" t="n">
        <v/>
      </c>
      <c r="N4" s="17" t="n">
        <v/>
      </c>
      <c r="O4" s="17" t="n">
        <v/>
      </c>
      <c r="P4" s="17" t="n">
        <v/>
      </c>
      <c r="Q4" s="16" t="n">
        <v/>
      </c>
      <c r="R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指数锚点</t>
        </is>
      </c>
      <c r="D5" s="13" t="inlineStr">
        <is>
          <t>其他</t>
        </is>
      </c>
      <c r="E5" s="13" t="n">
        <v/>
      </c>
      <c r="F5" s="13" t="n">
        <v>0</v>
      </c>
      <c r="G5" s="27" t="n"/>
      <c r="H5" s="33" t="n">
        <v>0</v>
      </c>
      <c r="I5" s="9" t="inlineStr">
        <is>
          <t>不适用</t>
        </is>
      </c>
      <c r="J5" s="9" t="inlineStr">
        <is>
          <t>指数不参与质量准入评分</t>
        </is>
      </c>
      <c r="K5" s="9" t="inlineStr">
        <is>
          <t>代理分不得折算放行；完整人工评分必须同时填写分数与证据</t>
        </is>
      </c>
      <c r="L5" s="9" t="n"/>
      <c r="M5" s="16" t="n">
        <v/>
      </c>
      <c r="N5" s="17" t="n">
        <v/>
      </c>
      <c r="O5" s="17" t="n">
        <v/>
      </c>
      <c r="P5" s="17" t="n">
        <v/>
      </c>
      <c r="Q5" s="16" t="n">
        <v/>
      </c>
      <c r="R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指数锚点</t>
        </is>
      </c>
      <c r="D6" s="13" t="inlineStr">
        <is>
          <t>其他</t>
        </is>
      </c>
      <c r="E6" s="13" t="n">
        <v/>
      </c>
      <c r="F6" s="13" t="n">
        <v>0</v>
      </c>
      <c r="G6" s="27" t="n"/>
      <c r="H6" s="33" t="n">
        <v>0</v>
      </c>
      <c r="I6" s="9" t="inlineStr">
        <is>
          <t>不适用</t>
        </is>
      </c>
      <c r="J6" s="9" t="inlineStr">
        <is>
          <t>指数不参与质量准入评分</t>
        </is>
      </c>
      <c r="K6" s="9" t="inlineStr">
        <is>
          <t>代理分不得折算放行；完整人工评分必须同时填写分数与证据</t>
        </is>
      </c>
      <c r="L6" s="9" t="n"/>
      <c r="M6" s="16" t="n">
        <v/>
      </c>
      <c r="N6" s="17" t="n">
        <v/>
      </c>
      <c r="O6" s="17" t="n">
        <v/>
      </c>
      <c r="P6" s="17" t="n">
        <v/>
      </c>
      <c r="Q6" s="16" t="n">
        <v/>
      </c>
      <c r="R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ETF质量评分</t>
        </is>
      </c>
      <c r="D7" s="13" t="inlineStr">
        <is>
          <t>半导体/芯片设备</t>
        </is>
      </c>
      <c r="E7" s="13" t="n">
        <v>5</v>
      </c>
      <c r="F7" s="13" t="n">
        <v>7</v>
      </c>
      <c r="G7" s="27" t="n"/>
      <c r="H7" s="33" t="n">
        <v>0.7</v>
      </c>
      <c r="I7" s="9" t="inlineStr">
        <is>
          <t>数据不足，需人工评分</t>
        </is>
      </c>
      <c r="J7" s="9" t="inlineStr">
        <is>
          <t>代理：纯度3/3；龙头覆盖2/2；流动性0/2；资金认可与规模稳定性待补</t>
        </is>
      </c>
      <c r="K7" s="9" t="inlineStr">
        <is>
          <t>代理分不得折算放行；完整人工评分必须同时填写分数与证据</t>
        </is>
      </c>
      <c r="L7" s="9" t="inlineStr">
        <is>
          <t>半导体设备ETF 159516</t>
        </is>
      </c>
      <c r="M7" s="16" t="n">
        <v>0.08</v>
      </c>
      <c r="N7" s="17" t="n">
        <v>382640</v>
      </c>
      <c r="O7" s="17" t="n">
        <v>60640</v>
      </c>
      <c r="P7" s="17" t="n">
        <v>322000</v>
      </c>
      <c r="Q7" s="16" t="n">
        <v>0.158477942713778</v>
      </c>
      <c r="R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ETF质量评分</t>
        </is>
      </c>
      <c r="D8" s="13" t="inlineStr">
        <is>
          <t>机器人/自动化</t>
        </is>
      </c>
      <c r="E8" s="13" t="n">
        <v>5</v>
      </c>
      <c r="F8" s="13" t="n">
        <v>7</v>
      </c>
      <c r="G8" s="27" t="n"/>
      <c r="H8" s="33" t="n">
        <v>0.7</v>
      </c>
      <c r="I8" s="9" t="inlineStr">
        <is>
          <t>数据不足，需人工评分</t>
        </is>
      </c>
      <c r="J8" s="9" t="inlineStr">
        <is>
          <t>代理：纯度3/3；龙头覆盖2/2；流动性0/2；资金认可与规模稳定性待补</t>
        </is>
      </c>
      <c r="K8" s="9" t="inlineStr">
        <is>
          <t>代理分不得折算放行；完整人工评分必须同时填写分数与证据</t>
        </is>
      </c>
      <c r="L8" s="9" t="inlineStr">
        <is>
          <t>机器人ETF 562500</t>
        </is>
      </c>
      <c r="M8" s="16" t="n">
        <v>0.08</v>
      </c>
      <c r="N8" s="17" t="n">
        <v>382640</v>
      </c>
      <c r="O8" s="17" t="n">
        <v>139459.2</v>
      </c>
      <c r="P8" s="17" t="n">
        <v>243180.8</v>
      </c>
      <c r="Q8" s="16" t="n">
        <v>0.364465816433201</v>
      </c>
      <c r="R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ETF质量评分</t>
        </is>
      </c>
      <c r="D9" s="13" t="inlineStr">
        <is>
          <t>AI算力/云计算</t>
        </is>
      </c>
      <c r="E9" s="13" t="n">
        <v>3</v>
      </c>
      <c r="F9" s="13" t="n">
        <v>7</v>
      </c>
      <c r="G9" s="27" t="n"/>
      <c r="H9" s="33" t="n">
        <v>0.7</v>
      </c>
      <c r="I9" s="9" t="inlineStr">
        <is>
          <t>数据不足，需人工评分</t>
        </is>
      </c>
      <c r="J9" s="9" t="inlineStr">
        <is>
          <t>代理：纯度2/3；龙头覆盖1/2；流动性0/2；资金认可与规模稳定性待补</t>
        </is>
      </c>
      <c r="K9" s="9" t="inlineStr">
        <is>
          <t>代理分不得折算放行；完整人工评分必须同时填写分数与证据</t>
        </is>
      </c>
      <c r="L9" s="9" t="inlineStr">
        <is>
          <t>创业板人工智能ETF 159381</t>
        </is>
      </c>
      <c r="M9" s="16" t="n">
        <v>0.06</v>
      </c>
      <c r="N9" s="17" t="n">
        <v>286980</v>
      </c>
      <c r="O9" s="17" t="n">
        <v>21675</v>
      </c>
      <c r="P9" s="17" t="n">
        <v>265305</v>
      </c>
      <c r="Q9" s="16" t="n">
        <v>0.07552791135270751</v>
      </c>
      <c r="R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ETF质量评分</t>
        </is>
      </c>
      <c r="D10" s="13" t="inlineStr">
        <is>
          <t>AI算力/云计算</t>
        </is>
      </c>
      <c r="E10" s="13" t="n">
        <v>3</v>
      </c>
      <c r="F10" s="13" t="n">
        <v>7</v>
      </c>
      <c r="G10" s="27" t="n"/>
      <c r="H10" s="33" t="n">
        <v>0.7</v>
      </c>
      <c r="I10" s="9" t="inlineStr">
        <is>
          <t>数据不足，需人工评分</t>
        </is>
      </c>
      <c r="J10" s="9" t="inlineStr">
        <is>
          <t>代理：纯度2/3；龙头覆盖1/2；流动性0/2；资金认可与规模稳定性待补</t>
        </is>
      </c>
      <c r="K10" s="9" t="inlineStr">
        <is>
          <t>代理分不得折算放行；完整人工评分必须同时填写分数与证据</t>
        </is>
      </c>
      <c r="L10" s="9" t="n"/>
      <c r="M10" s="16" t="n">
        <v/>
      </c>
      <c r="N10" s="17" t="n">
        <v/>
      </c>
      <c r="O10" s="17" t="n">
        <v/>
      </c>
      <c r="P10" s="17" t="n">
        <v/>
      </c>
      <c r="Q10" s="16" t="n">
        <v/>
      </c>
      <c r="R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ETF质量评分</t>
        </is>
      </c>
      <c r="D11" s="13" t="inlineStr">
        <is>
          <t>AI算力/云计算</t>
        </is>
      </c>
      <c r="E11" s="13" t="n">
        <v>4</v>
      </c>
      <c r="F11" s="13" t="n">
        <v>7</v>
      </c>
      <c r="G11" s="27" t="n"/>
      <c r="H11" s="33" t="n">
        <v>0.7</v>
      </c>
      <c r="I11" s="9" t="inlineStr">
        <is>
          <t>数据不足，需人工评分</t>
        </is>
      </c>
      <c r="J11" s="9" t="inlineStr">
        <is>
          <t>代理：纯度3/3；龙头覆盖1/2；流动性0/2；资金认可与规模稳定性待补</t>
        </is>
      </c>
      <c r="K11" s="9" t="inlineStr">
        <is>
          <t>代理分不得折算放行；完整人工评分必须同时填写分数与证据</t>
        </is>
      </c>
      <c r="L11" s="9" t="inlineStr">
        <is>
          <t>云计算ETF</t>
        </is>
      </c>
      <c r="M11" s="16" t="n">
        <v>0.03</v>
      </c>
      <c r="N11" s="17" t="n">
        <v>143490</v>
      </c>
      <c r="O11" s="17" t="n">
        <v>63344</v>
      </c>
      <c r="P11" s="17" t="n">
        <v>80146</v>
      </c>
      <c r="Q11" s="16" t="n">
        <v>0.4414523660185379</v>
      </c>
      <c r="R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ETF质量评分</t>
        </is>
      </c>
      <c r="D12" s="13" t="inlineStr">
        <is>
          <t>创新药/生物医药</t>
        </is>
      </c>
      <c r="E12" s="13" t="n">
        <v>3</v>
      </c>
      <c r="F12" s="13" t="n">
        <v>7</v>
      </c>
      <c r="G12" s="27" t="n"/>
      <c r="H12" s="33" t="n">
        <v>0.7</v>
      </c>
      <c r="I12" s="9" t="inlineStr">
        <is>
          <t>数据不足，需人工评分</t>
        </is>
      </c>
      <c r="J12" s="9" t="inlineStr">
        <is>
          <t>代理：纯度2/3；龙头覆盖1/2；流动性0/2；资金认可与规模稳定性待补</t>
        </is>
      </c>
      <c r="K12" s="9" t="inlineStr">
        <is>
          <t>代理分不得折算放行；完整人工评分必须同时填写分数与证据</t>
        </is>
      </c>
      <c r="L12" s="9" t="inlineStr">
        <is>
          <t>创新药ETF</t>
        </is>
      </c>
      <c r="M12" s="16" t="n">
        <v>0.02</v>
      </c>
      <c r="N12" s="17" t="n">
        <v>95660</v>
      </c>
      <c r="O12" s="17" t="n">
        <v>0</v>
      </c>
      <c r="P12" s="17" t="n">
        <v>95660</v>
      </c>
      <c r="Q12" s="16" t="n">
        <v>0</v>
      </c>
      <c r="R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ETF质量评分</t>
        </is>
      </c>
      <c r="D13" s="13" t="inlineStr">
        <is>
          <t>防御/宽基</t>
        </is>
      </c>
      <c r="E13" s="13" t="n">
        <v>3</v>
      </c>
      <c r="F13" s="13" t="n">
        <v>7</v>
      </c>
      <c r="G13" s="27" t="n"/>
      <c r="H13" s="33" t="n">
        <v>0.7</v>
      </c>
      <c r="I13" s="9" t="inlineStr">
        <is>
          <t>数据不足，需人工评分</t>
        </is>
      </c>
      <c r="J13" s="9" t="inlineStr">
        <is>
          <t>代理：纯度2/3；龙头覆盖1/2；流动性0/2；资金认可与规模稳定性待补</t>
        </is>
      </c>
      <c r="K13" s="9" t="inlineStr">
        <is>
          <t>代理分不得折算放行；完整人工评分必须同时填写分数与证据</t>
        </is>
      </c>
      <c r="L13" s="9" t="inlineStr">
        <is>
          <t>中证A500ETF</t>
        </is>
      </c>
      <c r="M13" s="16" t="n">
        <v>0.08</v>
      </c>
      <c r="N13" s="17" t="n">
        <v>382640</v>
      </c>
      <c r="O13" s="17" t="n">
        <v>109274.2</v>
      </c>
      <c r="P13" s="17" t="n">
        <v>273365.8</v>
      </c>
      <c r="Q13" s="16" t="n">
        <v>0.285579657118963</v>
      </c>
      <c r="R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ETF质量评分</t>
        </is>
      </c>
      <c r="D14" s="13" t="inlineStr">
        <is>
          <t>防御/宽基</t>
        </is>
      </c>
      <c r="E14" s="13" t="n">
        <v>3</v>
      </c>
      <c r="F14" s="13" t="n">
        <v>7</v>
      </c>
      <c r="G14" s="27" t="n"/>
      <c r="H14" s="33" t="n">
        <v>0.7</v>
      </c>
      <c r="I14" s="9" t="inlineStr">
        <is>
          <t>数据不足，需人工评分</t>
        </is>
      </c>
      <c r="J14" s="9" t="inlineStr">
        <is>
          <t>代理：纯度2/3；龙头覆盖1/2；流动性0/2；资金认可与规模稳定性待补</t>
        </is>
      </c>
      <c r="K14" s="9" t="inlineStr">
        <is>
          <t>代理分不得折算放行；完整人工评分必须同时填写分数与证据</t>
        </is>
      </c>
      <c r="L14" s="9" t="inlineStr">
        <is>
          <t>红利低波ETF</t>
        </is>
      </c>
      <c r="M14" s="16" t="n">
        <v>0.05</v>
      </c>
      <c r="N14" s="17" t="n">
        <v>239150</v>
      </c>
      <c r="O14" s="17" t="n">
        <v>42370</v>
      </c>
      <c r="P14" s="17" t="n">
        <v>196780</v>
      </c>
      <c r="Q14" s="16" t="n">
        <v>0.1771691407066694</v>
      </c>
      <c r="R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ETF质量评分</t>
        </is>
      </c>
      <c r="D15" s="13" t="inlineStr">
        <is>
          <t>防御/宽基</t>
        </is>
      </c>
      <c r="E15" s="13" t="n">
        <v>3</v>
      </c>
      <c r="F15" s="13" t="n">
        <v>7</v>
      </c>
      <c r="G15" s="27" t="n"/>
      <c r="H15" s="33" t="n">
        <v>0.7</v>
      </c>
      <c r="I15" s="9" t="inlineStr">
        <is>
          <t>数据不足，需人工评分</t>
        </is>
      </c>
      <c r="J15" s="9" t="inlineStr">
        <is>
          <t>代理：纯度2/3；龙头覆盖1/2；流动性0/2；资金认可与规模稳定性待补</t>
        </is>
      </c>
      <c r="K15" s="9" t="inlineStr">
        <is>
          <t>代理分不得折算放行；完整人工评分必须同时填写分数与证据</t>
        </is>
      </c>
      <c r="L15" s="9" t="inlineStr">
        <is>
          <t>可转债ETF</t>
        </is>
      </c>
      <c r="M15" s="16" t="n">
        <v>0.1</v>
      </c>
      <c r="N15" s="17" t="n">
        <v>478300</v>
      </c>
      <c r="O15" s="17" t="n">
        <v>38499</v>
      </c>
      <c r="P15" s="17" t="n">
        <v>439801</v>
      </c>
      <c r="Q15" s="16" t="n">
        <v>0.08049132343717333</v>
      </c>
      <c r="R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ETF质量评分</t>
        </is>
      </c>
      <c r="D16" s="13" t="inlineStr">
        <is>
          <t>防御/宽基</t>
        </is>
      </c>
      <c r="E16" s="13" t="n">
        <v>3</v>
      </c>
      <c r="F16" s="13" t="n">
        <v>7</v>
      </c>
      <c r="G16" s="27" t="n"/>
      <c r="H16" s="33" t="n">
        <v>0.7</v>
      </c>
      <c r="I16" s="9" t="inlineStr">
        <is>
          <t>数据不足，需人工评分</t>
        </is>
      </c>
      <c r="J16" s="9" t="inlineStr">
        <is>
          <t>代理：纯度2/3；龙头覆盖1/2；流动性0/2；资金认可与规模稳定性待补</t>
        </is>
      </c>
      <c r="K16" s="9" t="inlineStr">
        <is>
          <t>代理分不得折算放行；完整人工评分必须同时填写分数与证据</t>
        </is>
      </c>
      <c r="L16" s="9" t="n"/>
      <c r="M16" s="16" t="n">
        <v/>
      </c>
      <c r="N16" s="17" t="n">
        <v/>
      </c>
      <c r="O16" s="17" t="n">
        <v/>
      </c>
      <c r="P16" s="17" t="n">
        <v/>
      </c>
      <c r="Q16" s="16" t="n">
        <v/>
      </c>
      <c r="R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个股质量评分</t>
        </is>
      </c>
      <c r="D17" s="13" t="inlineStr">
        <is>
          <t>新能源/绿电</t>
        </is>
      </c>
      <c r="E17" s="13" t="n">
        <v>1</v>
      </c>
      <c r="F17" s="13" t="n">
        <v>5</v>
      </c>
      <c r="G17" s="27" t="n"/>
      <c r="H17" s="33" t="n">
        <v>0.5</v>
      </c>
      <c r="I17" s="9" t="inlineStr">
        <is>
          <t>数据不足，需人工评分</t>
        </is>
      </c>
      <c r="J17" s="9" t="inlineStr">
        <is>
          <t>代理：龙头性1/3；景气0/2；盈利、估值、机构数据待补</t>
        </is>
      </c>
      <c r="K17" s="9" t="inlineStr">
        <is>
          <t>代理分不得折算放行；完整人工评分必须同时填写分数与证据</t>
        </is>
      </c>
      <c r="L17" s="9" t="inlineStr">
        <is>
          <t>比亚迪+绿电+储能</t>
        </is>
      </c>
      <c r="M17" s="16" t="n">
        <v>0.03</v>
      </c>
      <c r="N17" s="17" t="n">
        <v>143490</v>
      </c>
      <c r="O17" s="17" t="n">
        <v>191942.4</v>
      </c>
      <c r="P17" s="17" t="n">
        <v>-48452.39999999999</v>
      </c>
      <c r="Q17" s="16" t="n">
        <v>1.337670917833995</v>
      </c>
      <c r="R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个股质量评分</t>
        </is>
      </c>
      <c r="D18" s="13" t="inlineStr">
        <is>
          <t>AI算力/云计算</t>
        </is>
      </c>
      <c r="E18" s="13" t="n">
        <v>1</v>
      </c>
      <c r="F18" s="13" t="n">
        <v>5</v>
      </c>
      <c r="G18" s="27" t="n"/>
      <c r="H18" s="33" t="n">
        <v>0.5</v>
      </c>
      <c r="I18" s="9" t="inlineStr">
        <is>
          <t>数据不足，需人工评分</t>
        </is>
      </c>
      <c r="J18" s="9" t="inlineStr">
        <is>
          <t>代理：龙头性1/3；景气0/2；盈利、估值、机构数据待补</t>
        </is>
      </c>
      <c r="K18" s="9" t="inlineStr">
        <is>
          <t>代理分不得折算放行；完整人工评分必须同时填写分数与证据</t>
        </is>
      </c>
      <c r="L18" s="9" t="n"/>
      <c r="M18" s="16" t="n">
        <v/>
      </c>
      <c r="N18" s="17" t="n">
        <v/>
      </c>
      <c r="O18" s="17" t="n">
        <v/>
      </c>
      <c r="P18" s="17" t="n">
        <v/>
      </c>
      <c r="Q18" s="16" t="n">
        <v/>
      </c>
      <c r="R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ETF质量评分</t>
        </is>
      </c>
      <c r="D19" s="13" t="inlineStr">
        <is>
          <t>新能源/绿电</t>
        </is>
      </c>
      <c r="E19" s="13" t="n">
        <v>3</v>
      </c>
      <c r="F19" s="13" t="n">
        <v>7</v>
      </c>
      <c r="G19" s="27" t="n"/>
      <c r="H19" s="33" t="n">
        <v>0.7</v>
      </c>
      <c r="I19" s="9" t="inlineStr">
        <is>
          <t>数据不足，需人工评分</t>
        </is>
      </c>
      <c r="J19" s="9" t="inlineStr">
        <is>
          <t>代理：纯度2/3；龙头覆盖1/2；流动性0/2；资金认可与规模稳定性待补</t>
        </is>
      </c>
      <c r="K19" s="9" t="inlineStr">
        <is>
          <t>代理分不得折算放行；完整人工评分必须同时填写分数与证据</t>
        </is>
      </c>
      <c r="L19" s="9" t="inlineStr">
        <is>
          <t>比亚迪+绿电+储能</t>
        </is>
      </c>
      <c r="M19" s="16" t="n">
        <v>0.03</v>
      </c>
      <c r="N19" s="17" t="n">
        <v>143490</v>
      </c>
      <c r="O19" s="17" t="n">
        <v>191942.4</v>
      </c>
      <c r="P19" s="17" t="n">
        <v>-48452.39999999999</v>
      </c>
      <c r="Q19" s="16" t="n">
        <v>1.337670917833995</v>
      </c>
      <c r="R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ETF质量评分</t>
        </is>
      </c>
      <c r="D20" s="13" t="inlineStr">
        <is>
          <t>新能源/绿电</t>
        </is>
      </c>
      <c r="E20" s="13" t="n">
        <v>3</v>
      </c>
      <c r="F20" s="13" t="n">
        <v>7</v>
      </c>
      <c r="G20" s="27" t="n"/>
      <c r="H20" s="33" t="n">
        <v>0.7</v>
      </c>
      <c r="I20" s="9" t="inlineStr">
        <is>
          <t>数据不足，需人工评分</t>
        </is>
      </c>
      <c r="J20" s="9" t="inlineStr">
        <is>
          <t>代理：纯度2/3；龙头覆盖1/2；流动性0/2；资金认可与规模稳定性待补</t>
        </is>
      </c>
      <c r="K20" s="9" t="inlineStr">
        <is>
          <t>代理分不得折算放行；完整人工评分必须同时填写分数与证据</t>
        </is>
      </c>
      <c r="L20" s="9" t="inlineStr">
        <is>
          <t>比亚迪+绿电+储能</t>
        </is>
      </c>
      <c r="M20" s="16" t="n">
        <v>0.03</v>
      </c>
      <c r="N20" s="17" t="n">
        <v>143490</v>
      </c>
      <c r="O20" s="17" t="n">
        <v>191942.4</v>
      </c>
      <c r="P20" s="17" t="n">
        <v>-48452.39999999999</v>
      </c>
      <c r="Q20" s="16" t="n">
        <v>1.337670917833995</v>
      </c>
      <c r="R20" s="9" t="inlineStr">
        <is>
          <t>达到或超过年度目标</t>
        </is>
      </c>
    </row>
  </sheetData>
  <autoFilter ref="A1:R20"/>
  <conditionalFormatting sqref="G2:G20">
    <cfRule type="colorScale" priority="1">
      <colorScale>
        <cfvo type="num" val="0"/>
        <cfvo type="num" val="6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4" customWidth="1" min="5" max="5"/>
    <col width="16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8" customWidth="1" min="12" max="12"/>
    <col width="14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8" customWidth="1" min="20" max="20"/>
  </cols>
  <sheetData>
    <row r="1">
      <c r="A1" s="12" t="inlineStr">
        <is>
          <t>维度</t>
        </is>
      </c>
      <c r="B1" s="12" t="inlineStr">
        <is>
          <t>分类</t>
        </is>
      </c>
      <c r="C1" s="12" t="inlineStr">
        <is>
          <t>Code</t>
        </is>
      </c>
      <c r="D1" s="12" t="inlineStr">
        <is>
          <t>Name</t>
        </is>
      </c>
      <c r="E1" s="12" t="inlineStr">
        <is>
          <t>市值</t>
        </is>
      </c>
      <c r="F1" s="12" t="inlineStr">
        <is>
          <t>证券账户仓位</t>
        </is>
      </c>
      <c r="G1" s="12" t="inlineStr">
        <is>
          <t>全资产穿透仓位</t>
        </is>
      </c>
      <c r="H1" s="12" t="inlineStr">
        <is>
          <t>目标仓位</t>
        </is>
      </c>
      <c r="I1" s="12" t="inlineStr">
        <is>
          <t>主题上限</t>
        </is>
      </c>
      <c r="J1" s="12" t="inlineStr">
        <is>
          <t>上限剩余额度</t>
        </is>
      </c>
      <c r="K1" s="12" t="inlineStr">
        <is>
          <t>上限状态</t>
        </is>
      </c>
      <c r="L1" s="12" t="inlineStr">
        <is>
          <t>风控口径</t>
        </is>
      </c>
      <c r="M1" s="12" t="inlineStr">
        <is>
          <t>风险提示</t>
        </is>
      </c>
      <c r="N1" s="12" t="inlineStr">
        <is>
          <t>年度配置项</t>
        </is>
      </c>
      <c r="O1" s="12" t="inlineStr">
        <is>
          <t>年度全资产目标</t>
        </is>
      </c>
      <c r="P1" s="12" t="inlineStr">
        <is>
          <t>年度目标金额</t>
        </is>
      </c>
      <c r="Q1" s="12" t="inlineStr">
        <is>
          <t>年度组内当前金额</t>
        </is>
      </c>
      <c r="R1" s="12" t="inlineStr">
        <is>
          <t>年度资金缺口</t>
        </is>
      </c>
      <c r="S1" s="12" t="inlineStr">
        <is>
          <t>年度完成率</t>
        </is>
      </c>
      <c r="T1" s="12" t="inlineStr">
        <is>
          <t>年度配置状态</t>
        </is>
      </c>
    </row>
    <row r="2">
      <c r="A2" s="13" t="inlineStr">
        <is>
          <t>组合汇总</t>
        </is>
      </c>
      <c r="B2" s="13" t="inlineStr">
        <is>
          <t>科技成长合计</t>
        </is>
      </c>
      <c r="C2" s="15" t="inlineStr"/>
      <c r="D2" s="9" t="inlineStr">
        <is>
          <t>半导体 + AI + 机器人</t>
        </is>
      </c>
      <c r="E2" s="13" t="n">
        <v>340393.42</v>
      </c>
      <c r="F2" s="16" t="n">
        <v>0.325847237622115</v>
      </c>
      <c r="G2" s="16" t="n">
        <v>0.07116734685343926</v>
      </c>
      <c r="H2" s="16" t="n">
        <v>0.26</v>
      </c>
      <c r="I2" s="16" t="n">
        <v>0.45</v>
      </c>
      <c r="J2" s="16" t="n">
        <v>0.3788326531465608</v>
      </c>
      <c r="K2" s="34" t="inlineStr">
        <is>
          <t>范围内</t>
        </is>
      </c>
      <c r="L2" s="9" t="inlineStr">
        <is>
          <t>全资产穿透</t>
        </is>
      </c>
      <c r="M2" s="13" t="inlineStr">
        <is>
          <t>科技成长全资产穿透上限45%</t>
        </is>
      </c>
      <c r="N2" s="9" t="n"/>
      <c r="O2" s="16" t="n">
        <v/>
      </c>
      <c r="P2" s="17" t="n">
        <v/>
      </c>
      <c r="Q2" s="17" t="n">
        <v/>
      </c>
      <c r="R2" s="17" t="n">
        <v/>
      </c>
      <c r="S2" s="16" t="n">
        <v/>
      </c>
      <c r="T2" s="9" t="n"/>
    </row>
    <row r="3">
      <c r="A3" s="13" t="inlineStr">
        <is>
          <t>主题汇总</t>
        </is>
      </c>
      <c r="B3" s="13" t="inlineStr">
        <is>
          <t>AI算力/云计算</t>
        </is>
      </c>
      <c r="C3" s="15" t="inlineStr"/>
      <c r="D3" s="9" t="inlineStr">
        <is>
          <t>AI算力/云计算合计</t>
        </is>
      </c>
      <c r="E3" s="13" t="n">
        <v>140294.22</v>
      </c>
      <c r="F3" s="16" t="n">
        <v>0.1342989651249701</v>
      </c>
      <c r="G3" s="16" t="n">
        <v>0.02933184612168095</v>
      </c>
      <c r="H3" s="16" t="n">
        <v>0.07000000000000001</v>
      </c>
      <c r="I3" s="16" t="n">
        <v>0.15</v>
      </c>
      <c r="J3" s="16" t="n">
        <v>0.120668153878319</v>
      </c>
      <c r="K3" s="34" t="inlineStr">
        <is>
          <t>范围内</t>
        </is>
      </c>
      <c r="L3" s="9" t="inlineStr">
        <is>
          <t>全资产穿透</t>
        </is>
      </c>
      <c r="M3" s="13" t="inlineStr">
        <is>
          <t>检查产业链簇上限与重复暴露</t>
        </is>
      </c>
      <c r="N3" s="9" t="n"/>
      <c r="O3" s="16" t="n">
        <v/>
      </c>
      <c r="P3" s="17" t="n">
        <v/>
      </c>
      <c r="Q3" s="17" t="n">
        <v/>
      </c>
      <c r="R3" s="17" t="n">
        <v/>
      </c>
      <c r="S3" s="16" t="n">
        <v/>
      </c>
      <c r="T3" s="9" t="n"/>
    </row>
    <row r="4">
      <c r="A4" s="13" t="inlineStr">
        <is>
          <t>主题汇总</t>
        </is>
      </c>
      <c r="B4" s="13" t="inlineStr">
        <is>
          <t>半导体/芯片设备</t>
        </is>
      </c>
      <c r="C4" s="15" t="inlineStr"/>
      <c r="D4" s="9" t="inlineStr">
        <is>
          <t>半导体/芯片设备合计</t>
        </is>
      </c>
      <c r="E4" s="13" t="n">
        <v>60640</v>
      </c>
      <c r="F4" s="16" t="n">
        <v>0.0580486440936639</v>
      </c>
      <c r="G4" s="16" t="n">
        <v>0.01267823541710224</v>
      </c>
      <c r="H4" s="16" t="n">
        <v>0.05</v>
      </c>
      <c r="I4" s="16" t="n">
        <v>0.18</v>
      </c>
      <c r="J4" s="16" t="n">
        <v>0.1673217645828978</v>
      </c>
      <c r="K4" s="34" t="inlineStr">
        <is>
          <t>范围内</t>
        </is>
      </c>
      <c r="L4" s="9" t="inlineStr">
        <is>
          <t>全资产穿透</t>
        </is>
      </c>
      <c r="M4" s="13" t="inlineStr">
        <is>
          <t>检查产业链簇上限与重复暴露</t>
        </is>
      </c>
      <c r="N4" s="9" t="n"/>
      <c r="O4" s="16" t="n">
        <v/>
      </c>
      <c r="P4" s="17" t="n">
        <v/>
      </c>
      <c r="Q4" s="17" t="n">
        <v/>
      </c>
      <c r="R4" s="17" t="n">
        <v/>
      </c>
      <c r="S4" s="16" t="n">
        <v/>
      </c>
      <c r="T4" s="9" t="n"/>
    </row>
    <row r="5">
      <c r="A5" s="13" t="inlineStr">
        <is>
          <t>主题汇总</t>
        </is>
      </c>
      <c r="B5" s="13" t="inlineStr">
        <is>
          <t>新能源/绿电</t>
        </is>
      </c>
      <c r="C5" s="15" t="inlineStr"/>
      <c r="D5" s="9" t="inlineStr">
        <is>
          <t>新能源/绿电合计</t>
        </is>
      </c>
      <c r="E5" s="13" t="n">
        <v>191942.4</v>
      </c>
      <c r="F5" s="16" t="n">
        <v>0.1837400406346252</v>
      </c>
      <c r="G5" s="16" t="n">
        <v>0.04013012753501986</v>
      </c>
      <c r="H5" s="16" t="n">
        <v>0.1</v>
      </c>
      <c r="I5" s="16" t="n">
        <v>0.25</v>
      </c>
      <c r="J5" s="16" t="n">
        <v>0.2098698724649801</v>
      </c>
      <c r="K5" s="34" t="inlineStr">
        <is>
          <t>范围内</t>
        </is>
      </c>
      <c r="L5" s="9" t="inlineStr">
        <is>
          <t>全资产穿透</t>
        </is>
      </c>
      <c r="M5" s="13" t="inlineStr">
        <is>
          <t>检查产业链簇上限与重复暴露</t>
        </is>
      </c>
      <c r="N5" s="9" t="n"/>
      <c r="O5" s="16" t="n">
        <v/>
      </c>
      <c r="P5" s="17" t="n">
        <v/>
      </c>
      <c r="Q5" s="17" t="n">
        <v/>
      </c>
      <c r="R5" s="17" t="n">
        <v/>
      </c>
      <c r="S5" s="16" t="n">
        <v/>
      </c>
      <c r="T5" s="9" t="n"/>
    </row>
    <row r="6">
      <c r="A6" s="13" t="inlineStr">
        <is>
          <t>主题汇总</t>
        </is>
      </c>
      <c r="B6" s="13" t="inlineStr">
        <is>
          <t>机器人/自动化</t>
        </is>
      </c>
      <c r="C6" s="15" t="inlineStr"/>
      <c r="D6" s="9" t="inlineStr">
        <is>
          <t>机器人/自动化合计</t>
        </is>
      </c>
      <c r="E6" s="13" t="n">
        <v>139459.2</v>
      </c>
      <c r="F6" s="16" t="n">
        <v>0.1334996284034811</v>
      </c>
      <c r="G6" s="16" t="n">
        <v>0.02915726531465608</v>
      </c>
      <c r="H6" s="16" t="n">
        <v>0.14</v>
      </c>
      <c r="I6" s="16" t="n">
        <v>0.18</v>
      </c>
      <c r="J6" s="16" t="n">
        <v>0.1508427346853439</v>
      </c>
      <c r="K6" s="34" t="inlineStr">
        <is>
          <t>范围内</t>
        </is>
      </c>
      <c r="L6" s="9" t="inlineStr">
        <is>
          <t>全资产穿透</t>
        </is>
      </c>
      <c r="M6" s="13" t="inlineStr">
        <is>
          <t>检查产业链簇上限与重复暴露</t>
        </is>
      </c>
      <c r="N6" s="9" t="n"/>
      <c r="O6" s="16" t="n">
        <v/>
      </c>
      <c r="P6" s="17" t="n">
        <v/>
      </c>
      <c r="Q6" s="17" t="n">
        <v/>
      </c>
      <c r="R6" s="17" t="n">
        <v/>
      </c>
      <c r="S6" s="16" t="n">
        <v/>
      </c>
      <c r="T6" s="9" t="n"/>
    </row>
    <row r="7">
      <c r="A7" s="13" t="inlineStr">
        <is>
          <t>主题汇总</t>
        </is>
      </c>
      <c r="B7" s="13" t="inlineStr">
        <is>
          <t>防御/宽基</t>
        </is>
      </c>
      <c r="C7" s="15" t="inlineStr"/>
      <c r="D7" s="9" t="inlineStr">
        <is>
          <t>防御/宽基合计</t>
        </is>
      </c>
      <c r="E7" s="13" t="n">
        <v>246698.4</v>
      </c>
      <c r="F7" s="16" t="n">
        <v>0.2361561282994118</v>
      </c>
      <c r="G7" s="16" t="n">
        <v>0.05157817269496132</v>
      </c>
      <c r="H7" s="16" t="n">
        <v>0.23</v>
      </c>
      <c r="I7" s="16" t="n">
        <v/>
      </c>
      <c r="J7" s="16" t="n">
        <v/>
      </c>
      <c r="K7" s="13" t="inlineStr">
        <is>
          <t>未设上限</t>
        </is>
      </c>
      <c r="L7" s="9" t="inlineStr">
        <is>
          <t>全资产穿透</t>
        </is>
      </c>
      <c r="M7" s="13" t="inlineStr">
        <is>
          <t>检查产业链簇上限与重复暴露</t>
        </is>
      </c>
      <c r="N7" s="9" t="n"/>
      <c r="O7" s="16" t="n">
        <v/>
      </c>
      <c r="P7" s="17" t="n">
        <v/>
      </c>
      <c r="Q7" s="17" t="n">
        <v/>
      </c>
      <c r="R7" s="17" t="n">
        <v/>
      </c>
      <c r="S7" s="16" t="n">
        <v/>
      </c>
      <c r="T7" s="9" t="n"/>
    </row>
    <row r="8">
      <c r="A8" s="13" t="inlineStr">
        <is>
          <t>标的</t>
        </is>
      </c>
      <c r="B8" s="13" t="inlineStr">
        <is>
          <t>机器人/自动化</t>
        </is>
      </c>
      <c r="C8" s="15" t="inlineStr">
        <is>
          <t>562500</t>
        </is>
      </c>
      <c r="D8" s="9" t="inlineStr">
        <is>
          <t>机器人ETF</t>
        </is>
      </c>
      <c r="E8" s="13" t="n">
        <v>139459.2</v>
      </c>
      <c r="F8" s="16" t="n">
        <v>0.1334996284034811</v>
      </c>
      <c r="G8" s="16" t="n">
        <v>0.02915726531465608</v>
      </c>
      <c r="H8" s="16" t="n">
        <v>0.14</v>
      </c>
      <c r="I8" s="16" t="n">
        <v/>
      </c>
      <c r="J8" s="16" t="n">
        <v/>
      </c>
      <c r="K8" s="13" t="inlineStr">
        <is>
          <t>明细见主题汇总</t>
        </is>
      </c>
      <c r="L8" s="9" t="inlineStr">
        <is>
          <t>证券账户 + 全资产穿透</t>
        </is>
      </c>
      <c r="M8" s="13" t="inlineStr">
        <is>
          <t>持有/观察</t>
        </is>
      </c>
      <c r="N8" s="9" t="inlineStr">
        <is>
          <t>机器人ETF 562500</t>
        </is>
      </c>
      <c r="O8" s="16" t="n">
        <v>0.08</v>
      </c>
      <c r="P8" s="17" t="n">
        <v>382640</v>
      </c>
      <c r="Q8" s="17" t="n">
        <v>139459.2</v>
      </c>
      <c r="R8" s="17" t="n">
        <v>243180.8</v>
      </c>
      <c r="S8" s="16" t="n">
        <v>0.364465816433201</v>
      </c>
      <c r="T8" s="9" t="inlineStr">
        <is>
          <t>配置中</t>
        </is>
      </c>
    </row>
    <row r="9">
      <c r="A9" s="13" t="inlineStr">
        <is>
          <t>标的</t>
        </is>
      </c>
      <c r="B9" s="13" t="inlineStr">
        <is>
          <t>新能源/绿电</t>
        </is>
      </c>
      <c r="C9" s="15" t="inlineStr">
        <is>
          <t>002594</t>
        </is>
      </c>
      <c r="D9" s="9" t="inlineStr">
        <is>
          <t>比亚迪</t>
        </is>
      </c>
      <c r="E9" s="13" t="n">
        <v>97504</v>
      </c>
      <c r="F9" s="16" t="n">
        <v>0.09333731849783319</v>
      </c>
      <c r="G9" s="16" t="n">
        <v>0.02038553209282877</v>
      </c>
      <c r="H9" s="16" t="n">
        <v>0.05</v>
      </c>
      <c r="I9" s="16" t="n">
        <v/>
      </c>
      <c r="J9" s="16" t="n">
        <v/>
      </c>
      <c r="K9" s="13" t="inlineStr">
        <is>
          <t>明细见主题汇总</t>
        </is>
      </c>
      <c r="L9" s="9" t="inlineStr">
        <is>
          <t>证券账户 + 全资产穿透</t>
        </is>
      </c>
      <c r="M9" s="13" t="inlineStr">
        <is>
          <t>超目标，考虑减仓</t>
        </is>
      </c>
      <c r="N9" s="9" t="inlineStr">
        <is>
          <t>比亚迪+绿电+储能</t>
        </is>
      </c>
      <c r="O9" s="16" t="n">
        <v>0.03</v>
      </c>
      <c r="P9" s="17" t="n">
        <v>143490</v>
      </c>
      <c r="Q9" s="17" t="n">
        <v>191942.4</v>
      </c>
      <c r="R9" s="17" t="n">
        <v>-48452.39999999999</v>
      </c>
      <c r="S9" s="16" t="n">
        <v>1.337670917833995</v>
      </c>
      <c r="T9" s="9" t="inlineStr">
        <is>
          <t>达到或超过年度目标</t>
        </is>
      </c>
    </row>
    <row r="10">
      <c r="A10" s="13" t="inlineStr">
        <is>
          <t>标的</t>
        </is>
      </c>
      <c r="B10" s="13" t="inlineStr">
        <is>
          <t>防御/宽基</t>
        </is>
      </c>
      <c r="C10" s="15" t="inlineStr">
        <is>
          <t>159338</t>
        </is>
      </c>
      <c r="D10" s="9" t="inlineStr">
        <is>
          <t>中证A500ETF</t>
        </is>
      </c>
      <c r="E10" s="13" t="n">
        <v>73294.2</v>
      </c>
      <c r="F10" s="16" t="n">
        <v>0.07016208657535984</v>
      </c>
      <c r="G10" s="16" t="n">
        <v>0.0153238971356889</v>
      </c>
      <c r="H10" s="16" t="n">
        <v>0.06</v>
      </c>
      <c r="I10" s="16" t="n">
        <v/>
      </c>
      <c r="J10" s="16" t="n">
        <v/>
      </c>
      <c r="K10" s="13" t="inlineStr">
        <is>
          <t>明细见主题汇总</t>
        </is>
      </c>
      <c r="L10" s="9" t="inlineStr">
        <is>
          <t>证券账户 + 全资产穿透</t>
        </is>
      </c>
      <c r="M10" s="13" t="inlineStr">
        <is>
          <t>超目标，考虑减仓</t>
        </is>
      </c>
      <c r="N10" s="9" t="inlineStr">
        <is>
          <t>中证A500ETF</t>
        </is>
      </c>
      <c r="O10" s="16" t="n">
        <v>0.08</v>
      </c>
      <c r="P10" s="17" t="n">
        <v>382640</v>
      </c>
      <c r="Q10" s="17" t="n">
        <v>109274.2</v>
      </c>
      <c r="R10" s="17" t="n">
        <v>273365.8</v>
      </c>
      <c r="S10" s="16" t="n">
        <v>0.285579657118963</v>
      </c>
      <c r="T10" s="9" t="inlineStr">
        <is>
          <t>配置中</t>
        </is>
      </c>
    </row>
    <row r="11">
      <c r="A11" s="13" t="inlineStr">
        <is>
          <t>标的</t>
        </is>
      </c>
      <c r="B11" s="13" t="inlineStr">
        <is>
          <t>AI算力/云计算</t>
        </is>
      </c>
      <c r="C11" s="15" t="inlineStr">
        <is>
          <t>516630</t>
        </is>
      </c>
      <c r="D11" s="9" t="inlineStr">
        <is>
          <t>云计算ETF</t>
        </is>
      </c>
      <c r="E11" s="13" t="n">
        <v>63344</v>
      </c>
      <c r="F11" s="16" t="n">
        <v>0.06063709286723361</v>
      </c>
      <c r="G11" s="16" t="n">
        <v>0.01324357098055614</v>
      </c>
      <c r="H11" s="16" t="n">
        <v>0.03</v>
      </c>
      <c r="I11" s="16" t="n">
        <v/>
      </c>
      <c r="J11" s="16" t="n">
        <v/>
      </c>
      <c r="K11" s="13" t="inlineStr">
        <is>
          <t>明细见主题汇总</t>
        </is>
      </c>
      <c r="L11" s="9" t="inlineStr">
        <is>
          <t>证券账户 + 全资产穿透</t>
        </is>
      </c>
      <c r="M11" s="13" t="inlineStr">
        <is>
          <t>超目标，考虑减仓</t>
        </is>
      </c>
      <c r="N11" s="9" t="inlineStr">
        <is>
          <t>云计算ETF</t>
        </is>
      </c>
      <c r="O11" s="16" t="n">
        <v>0.03</v>
      </c>
      <c r="P11" s="17" t="n">
        <v>143490</v>
      </c>
      <c r="Q11" s="17" t="n">
        <v>63344</v>
      </c>
      <c r="R11" s="17" t="n">
        <v>80146</v>
      </c>
      <c r="S11" s="16" t="n">
        <v>0.4414523660185379</v>
      </c>
      <c r="T11" s="9" t="inlineStr">
        <is>
          <t>配置中</t>
        </is>
      </c>
    </row>
    <row r="12">
      <c r="A12" s="13" t="inlineStr">
        <is>
          <t>标的</t>
        </is>
      </c>
      <c r="B12" s="13" t="inlineStr">
        <is>
          <t>半导体/芯片设备</t>
        </is>
      </c>
      <c r="C12" s="15" t="inlineStr">
        <is>
          <t>159516</t>
        </is>
      </c>
      <c r="D12" s="9" t="inlineStr">
        <is>
          <t>半导体设备ETF</t>
        </is>
      </c>
      <c r="E12" s="13" t="n">
        <v>60640</v>
      </c>
      <c r="F12" s="16" t="n">
        <v>0.0580486440936639</v>
      </c>
      <c r="G12" s="16" t="n">
        <v>0.01267823541710224</v>
      </c>
      <c r="H12" s="16" t="n">
        <v>0.05</v>
      </c>
      <c r="I12" s="16" t="n">
        <v/>
      </c>
      <c r="J12" s="16" t="n">
        <v/>
      </c>
      <c r="K12" s="13" t="inlineStr">
        <is>
          <t>明细见主题汇总</t>
        </is>
      </c>
      <c r="L12" s="9" t="inlineStr">
        <is>
          <t>证券账户 + 全资产穿透</t>
        </is>
      </c>
      <c r="M12" s="13" t="inlineStr">
        <is>
          <t>超目标，考虑减仓</t>
        </is>
      </c>
      <c r="N12" s="9" t="inlineStr">
        <is>
          <t>半导体设备ETF 159516</t>
        </is>
      </c>
      <c r="O12" s="16" t="n">
        <v>0.08</v>
      </c>
      <c r="P12" s="17" t="n">
        <v>382640</v>
      </c>
      <c r="Q12" s="17" t="n">
        <v>60640</v>
      </c>
      <c r="R12" s="17" t="n">
        <v>322000</v>
      </c>
      <c r="S12" s="16" t="n">
        <v>0.158477942713778</v>
      </c>
      <c r="T12" s="9" t="inlineStr">
        <is>
          <t>配置中</t>
        </is>
      </c>
    </row>
    <row r="13">
      <c r="A13" s="13" t="inlineStr">
        <is>
          <t>标的</t>
        </is>
      </c>
      <c r="B13" s="13" t="inlineStr">
        <is>
          <t>防御/宽基</t>
        </is>
      </c>
      <c r="C13" s="15" t="inlineStr">
        <is>
          <t>511010</t>
        </is>
      </c>
      <c r="D13" s="9" t="inlineStr">
        <is>
          <t>国债ETF</t>
        </is>
      </c>
      <c r="E13" s="13" t="n">
        <v>56555.2</v>
      </c>
      <c r="F13" s="16" t="n">
        <v>0.05413840165643108</v>
      </c>
      <c r="G13" s="16" t="n">
        <v>0.01182421074639348</v>
      </c>
      <c r="H13" s="16" t="n">
        <v>0.04</v>
      </c>
      <c r="I13" s="16" t="n">
        <v/>
      </c>
      <c r="J13" s="16" t="n">
        <v/>
      </c>
      <c r="K13" s="13" t="inlineStr">
        <is>
          <t>明细见主题汇总</t>
        </is>
      </c>
      <c r="L13" s="9" t="inlineStr">
        <is>
          <t>证券账户 + 全资产穿透</t>
        </is>
      </c>
      <c r="M13" s="13" t="inlineStr">
        <is>
          <t>超目标，考虑减仓</t>
        </is>
      </c>
      <c r="N13" s="9" t="n"/>
      <c r="O13" s="16" t="n">
        <v/>
      </c>
      <c r="P13" s="17" t="n">
        <v/>
      </c>
      <c r="Q13" s="17" t="n">
        <v/>
      </c>
      <c r="R13" s="17" t="n">
        <v/>
      </c>
      <c r="S13" s="16" t="n">
        <v/>
      </c>
      <c r="T13" s="9" t="n"/>
    </row>
    <row r="14">
      <c r="A14" s="13" t="inlineStr">
        <is>
          <t>标的</t>
        </is>
      </c>
      <c r="B14" s="13" t="inlineStr">
        <is>
          <t>AI算力/云计算</t>
        </is>
      </c>
      <c r="C14" s="15" t="inlineStr">
        <is>
          <t>688083</t>
        </is>
      </c>
      <c r="D14" s="9" t="inlineStr">
        <is>
          <t>中望软件</t>
        </is>
      </c>
      <c r="E14" s="13" t="n">
        <v>55275.22</v>
      </c>
      <c r="F14" s="16" t="n">
        <v>0.05291311960717304</v>
      </c>
      <c r="G14" s="16" t="n">
        <v>0.01155660045996237</v>
      </c>
      <c r="H14" s="16" t="n">
        <v>0.02</v>
      </c>
      <c r="I14" s="16" t="n">
        <v/>
      </c>
      <c r="J14" s="16" t="n">
        <v/>
      </c>
      <c r="K14" s="13" t="inlineStr">
        <is>
          <t>明细见主题汇总</t>
        </is>
      </c>
      <c r="L14" s="9" t="inlineStr">
        <is>
          <t>证券账户 + 全资产穿透</t>
        </is>
      </c>
      <c r="M14" s="13" t="inlineStr">
        <is>
          <t>超目标，考虑减仓</t>
        </is>
      </c>
      <c r="N14" s="9" t="n"/>
      <c r="O14" s="16" t="n">
        <v/>
      </c>
      <c r="P14" s="17" t="n">
        <v/>
      </c>
      <c r="Q14" s="17" t="n">
        <v/>
      </c>
      <c r="R14" s="17" t="n">
        <v/>
      </c>
      <c r="S14" s="16" t="n">
        <v/>
      </c>
      <c r="T14" s="9" t="n"/>
    </row>
    <row r="15">
      <c r="A15" s="13" t="inlineStr">
        <is>
          <t>标的</t>
        </is>
      </c>
      <c r="B15" s="13" t="inlineStr">
        <is>
          <t>新能源/绿电</t>
        </is>
      </c>
      <c r="C15" s="15" t="inlineStr">
        <is>
          <t>562550</t>
        </is>
      </c>
      <c r="D15" s="9" t="inlineStr">
        <is>
          <t>绿电ETF</t>
        </is>
      </c>
      <c r="E15" s="13" t="n">
        <v>47600</v>
      </c>
      <c r="F15" s="16" t="n">
        <v>0.0455658881737863</v>
      </c>
      <c r="G15" s="16" t="n">
        <v>0.00995191302529793</v>
      </c>
      <c r="H15" s="16" t="n">
        <v>0.03</v>
      </c>
      <c r="I15" s="16" t="n">
        <v/>
      </c>
      <c r="J15" s="16" t="n">
        <v/>
      </c>
      <c r="K15" s="13" t="inlineStr">
        <is>
          <t>明细见主题汇总</t>
        </is>
      </c>
      <c r="L15" s="9" t="inlineStr">
        <is>
          <t>证券账户 + 全资产穿透</t>
        </is>
      </c>
      <c r="M15" s="13" t="inlineStr">
        <is>
          <t>超目标，考虑减仓</t>
        </is>
      </c>
      <c r="N15" s="9" t="inlineStr">
        <is>
          <t>比亚迪+绿电+储能</t>
        </is>
      </c>
      <c r="O15" s="16" t="n">
        <v>0.03</v>
      </c>
      <c r="P15" s="17" t="n">
        <v>143490</v>
      </c>
      <c r="Q15" s="17" t="n">
        <v>191942.4</v>
      </c>
      <c r="R15" s="17" t="n">
        <v>-48452.39999999999</v>
      </c>
      <c r="S15" s="16" t="n">
        <v>1.337670917833995</v>
      </c>
      <c r="T15" s="9" t="inlineStr">
        <is>
          <t>达到或超过年度目标</t>
        </is>
      </c>
    </row>
    <row r="16">
      <c r="A16" s="13" t="inlineStr">
        <is>
          <t>标的</t>
        </is>
      </c>
      <c r="B16" s="13" t="inlineStr">
        <is>
          <t>新能源/绿电</t>
        </is>
      </c>
      <c r="C16" s="15" t="inlineStr">
        <is>
          <t>159566</t>
        </is>
      </c>
      <c r="D16" s="9" t="inlineStr">
        <is>
          <t>储能电池ETF</t>
        </is>
      </c>
      <c r="E16" s="13" t="n">
        <v>46838.4</v>
      </c>
      <c r="F16" s="16" t="n">
        <v>0.04483683396300573</v>
      </c>
      <c r="G16" s="16" t="n">
        <v>0.009792682416893163</v>
      </c>
      <c r="H16" s="16" t="n">
        <v>0.02</v>
      </c>
      <c r="I16" s="16" t="n">
        <v/>
      </c>
      <c r="J16" s="16" t="n">
        <v/>
      </c>
      <c r="K16" s="13" t="inlineStr">
        <is>
          <t>明细见主题汇总</t>
        </is>
      </c>
      <c r="L16" s="9" t="inlineStr">
        <is>
          <t>证券账户 + 全资产穿透</t>
        </is>
      </c>
      <c r="M16" s="13" t="inlineStr">
        <is>
          <t>超目标，考虑减仓</t>
        </is>
      </c>
      <c r="N16" s="9" t="inlineStr">
        <is>
          <t>比亚迪+绿电+储能</t>
        </is>
      </c>
      <c r="O16" s="16" t="n">
        <v>0.03</v>
      </c>
      <c r="P16" s="17" t="n">
        <v>143490</v>
      </c>
      <c r="Q16" s="17" t="n">
        <v>191942.4</v>
      </c>
      <c r="R16" s="17" t="n">
        <v>-48452.39999999999</v>
      </c>
      <c r="S16" s="16" t="n">
        <v>1.337670917833995</v>
      </c>
      <c r="T16" s="9" t="inlineStr">
        <is>
          <t>达到或超过年度目标</t>
        </is>
      </c>
    </row>
    <row r="17">
      <c r="A17" s="13" t="inlineStr">
        <is>
          <t>标的</t>
        </is>
      </c>
      <c r="B17" s="13" t="inlineStr">
        <is>
          <t>防御/宽基</t>
        </is>
      </c>
      <c r="C17" s="15" t="inlineStr">
        <is>
          <t>512890</t>
        </is>
      </c>
      <c r="D17" s="9" t="inlineStr">
        <is>
          <t>红利低波ETF</t>
        </is>
      </c>
      <c r="E17" s="13" t="n">
        <v>42370</v>
      </c>
      <c r="F17" s="16" t="n">
        <v>0.04055938407401945</v>
      </c>
      <c r="G17" s="16" t="n">
        <v>0.008858457035333472</v>
      </c>
      <c r="H17" s="16" t="n">
        <v>0.05</v>
      </c>
      <c r="I17" s="16" t="n">
        <v/>
      </c>
      <c r="J17" s="16" t="n">
        <v/>
      </c>
      <c r="K17" s="13" t="inlineStr">
        <is>
          <t>明细见主题汇总</t>
        </is>
      </c>
      <c r="L17" s="9" t="inlineStr">
        <is>
          <t>证券账户 + 全资产穿透</t>
        </is>
      </c>
      <c r="M17" s="13" t="inlineStr">
        <is>
          <t>持有/观察</t>
        </is>
      </c>
      <c r="N17" s="9" t="inlineStr">
        <is>
          <t>红利低波ETF</t>
        </is>
      </c>
      <c r="O17" s="16" t="n">
        <v>0.05</v>
      </c>
      <c r="P17" s="17" t="n">
        <v>239150</v>
      </c>
      <c r="Q17" s="17" t="n">
        <v>42370</v>
      </c>
      <c r="R17" s="17" t="n">
        <v>196780</v>
      </c>
      <c r="S17" s="16" t="n">
        <v>0.1771691407066694</v>
      </c>
      <c r="T17" s="9" t="inlineStr">
        <is>
          <t>配置中</t>
        </is>
      </c>
    </row>
    <row r="18">
      <c r="A18" s="13" t="inlineStr">
        <is>
          <t>标的</t>
        </is>
      </c>
      <c r="B18" s="13" t="inlineStr">
        <is>
          <t>防御/宽基</t>
        </is>
      </c>
      <c r="C18" s="15" t="inlineStr">
        <is>
          <t>511180</t>
        </is>
      </c>
      <c r="D18" s="9" t="inlineStr">
        <is>
          <t>可转债ETF</t>
        </is>
      </c>
      <c r="E18" s="13" t="n">
        <v>38499</v>
      </c>
      <c r="F18" s="16" t="n">
        <v>0.03685380522694535</v>
      </c>
      <c r="G18" s="16" t="n">
        <v>0.008049132343717333</v>
      </c>
      <c r="H18" s="16" t="n">
        <v>0.04</v>
      </c>
      <c r="I18" s="16" t="n">
        <v/>
      </c>
      <c r="J18" s="16" t="n">
        <v/>
      </c>
      <c r="K18" s="13" t="inlineStr">
        <is>
          <t>明细见主题汇总</t>
        </is>
      </c>
      <c r="L18" s="9" t="inlineStr">
        <is>
          <t>证券账户 + 全资产穿透</t>
        </is>
      </c>
      <c r="M18" s="13" t="inlineStr">
        <is>
          <t>持有/观察</t>
        </is>
      </c>
      <c r="N18" s="9" t="inlineStr">
        <is>
          <t>可转债ETF</t>
        </is>
      </c>
      <c r="O18" s="16" t="n">
        <v>0.1</v>
      </c>
      <c r="P18" s="17" t="n">
        <v>478300</v>
      </c>
      <c r="Q18" s="17" t="n">
        <v>38499</v>
      </c>
      <c r="R18" s="17" t="n">
        <v>439801</v>
      </c>
      <c r="S18" s="16" t="n">
        <v>0.08049132343717333</v>
      </c>
      <c r="T18" s="9" t="inlineStr">
        <is>
          <t>配置中</t>
        </is>
      </c>
    </row>
    <row r="19">
      <c r="A19" s="13" t="inlineStr">
        <is>
          <t>标的</t>
        </is>
      </c>
      <c r="B19" s="13" t="inlineStr">
        <is>
          <t>防御/宽基</t>
        </is>
      </c>
      <c r="C19" s="15" t="inlineStr">
        <is>
          <t>510210</t>
        </is>
      </c>
      <c r="D19" s="9" t="inlineStr">
        <is>
          <t>上证ETF</t>
        </is>
      </c>
      <c r="E19" s="13" t="n">
        <v>35980</v>
      </c>
      <c r="F19" s="16" t="n">
        <v>0.03444245076665612</v>
      </c>
      <c r="G19" s="16" t="n">
        <v>0.007522475433828142</v>
      </c>
      <c r="H19" s="16" t="n">
        <v>0.04</v>
      </c>
      <c r="I19" s="16" t="n">
        <v/>
      </c>
      <c r="J19" s="16" t="n">
        <v/>
      </c>
      <c r="K19" s="13" t="inlineStr">
        <is>
          <t>明细见主题汇总</t>
        </is>
      </c>
      <c r="L19" s="9" t="inlineStr">
        <is>
          <t>证券账户 + 全资产穿透</t>
        </is>
      </c>
      <c r="M19" s="13" t="inlineStr">
        <is>
          <t>持有/观察</t>
        </is>
      </c>
      <c r="N19" s="9" t="inlineStr">
        <is>
          <t>中证A500ETF</t>
        </is>
      </c>
      <c r="O19" s="16" t="n">
        <v>0.08</v>
      </c>
      <c r="P19" s="17" t="n">
        <v>382640</v>
      </c>
      <c r="Q19" s="17" t="n">
        <v>109274.2</v>
      </c>
      <c r="R19" s="17" t="n">
        <v>273365.8</v>
      </c>
      <c r="S19" s="16" t="n">
        <v>0.285579657118963</v>
      </c>
      <c r="T19" s="9" t="inlineStr">
        <is>
          <t>配置中</t>
        </is>
      </c>
    </row>
    <row r="20">
      <c r="A20" s="13" t="inlineStr">
        <is>
          <t>标的</t>
        </is>
      </c>
      <c r="B20" s="13" t="inlineStr">
        <is>
          <t>AI算力/云计算</t>
        </is>
      </c>
      <c r="C20" s="15" t="inlineStr">
        <is>
          <t>159381</t>
        </is>
      </c>
      <c r="D20" s="9" t="inlineStr">
        <is>
          <t>创业板人工智能ETF</t>
        </is>
      </c>
      <c r="E20" s="13" t="n">
        <v>21675</v>
      </c>
      <c r="F20" s="16" t="n">
        <v>0.02074875265056341</v>
      </c>
      <c r="G20" s="16" t="n">
        <v>0.004531674681162451</v>
      </c>
      <c r="H20" s="16" t="n">
        <v>0.02</v>
      </c>
      <c r="I20" s="16" t="n">
        <v/>
      </c>
      <c r="J20" s="16" t="n">
        <v/>
      </c>
      <c r="K20" s="13" t="inlineStr">
        <is>
          <t>明细见主题汇总</t>
        </is>
      </c>
      <c r="L20" s="9" t="inlineStr">
        <is>
          <t>证券账户 + 全资产穿透</t>
        </is>
      </c>
      <c r="M20" s="13" t="inlineStr">
        <is>
          <t>持有/观察</t>
        </is>
      </c>
      <c r="N20" s="9" t="inlineStr">
        <is>
          <t>创业板人工智能ETF 159381</t>
        </is>
      </c>
      <c r="O20" s="16" t="n">
        <v>0.06</v>
      </c>
      <c r="P20" s="17" t="n">
        <v>286980</v>
      </c>
      <c r="Q20" s="17" t="n">
        <v>21675</v>
      </c>
      <c r="R20" s="17" t="n">
        <v>265305</v>
      </c>
      <c r="S20" s="16" t="n">
        <v>0.07552791135270751</v>
      </c>
      <c r="T20" s="9" t="inlineStr">
        <is>
          <t>配置中</t>
        </is>
      </c>
    </row>
  </sheetData>
  <autoFilter ref="A1:T2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1" customWidth="1" min="9" max="9"/>
    <col width="15" customWidth="1" min="10" max="10"/>
    <col width="15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8" customWidth="1" min="17" max="17"/>
    <col width="14" customWidth="1" min="18" max="18"/>
    <col width="14" customWidth="1" min="19" max="19"/>
    <col width="14" customWidth="1" min="20" max="20"/>
    <col width="2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8" customWidth="1" min="27" max="27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Role</t>
        </is>
      </c>
      <c r="D1" s="12" t="inlineStr">
        <is>
          <t>Latest</t>
        </is>
      </c>
      <c r="E1" s="12" t="inlineStr">
        <is>
          <t>PctChg</t>
        </is>
      </c>
      <c r="F1" s="12" t="inlineStr">
        <is>
          <t>Open</t>
        </is>
      </c>
      <c r="G1" s="12" t="inlineStr">
        <is>
          <t>High</t>
        </is>
      </c>
      <c r="H1" s="12" t="inlineStr">
        <is>
          <t>Low</t>
        </is>
      </c>
      <c r="I1" s="12" t="inlineStr">
        <is>
          <t>PrevClose</t>
        </is>
      </c>
      <c r="J1" s="12" t="inlineStr">
        <is>
          <t>Amount</t>
        </is>
      </c>
      <c r="K1" s="12" t="inlineStr">
        <is>
          <t>Avg20Amount</t>
        </is>
      </c>
      <c r="L1" s="12" t="inlineStr">
        <is>
          <t>Avg20AmountSource</t>
        </is>
      </c>
      <c r="M1" s="12" t="inlineStr">
        <is>
          <t>ETFShareChg</t>
        </is>
      </c>
      <c r="N1" s="12" t="inlineStr">
        <is>
          <t>Premium</t>
        </is>
      </c>
      <c r="O1" s="12" t="inlineStr">
        <is>
          <t>LeaderStatus</t>
        </is>
      </c>
      <c r="P1" s="12" t="inlineStr">
        <is>
          <t>PrevDayLow</t>
        </is>
      </c>
      <c r="Q1" s="12" t="inlineStr">
        <is>
          <t>PrevDayLowSource</t>
        </is>
      </c>
      <c r="R1" s="12" t="inlineStr">
        <is>
          <t>QuoteTime</t>
        </is>
      </c>
      <c r="S1" s="12" t="inlineStr">
        <is>
          <t>DataSource</t>
        </is>
      </c>
      <c r="T1" s="12" t="inlineStr">
        <is>
          <t>Notes</t>
        </is>
      </c>
      <c r="U1" s="12" t="inlineStr">
        <is>
          <t>年度配置项</t>
        </is>
      </c>
      <c r="V1" s="12" t="inlineStr">
        <is>
          <t>年度全资产目标</t>
        </is>
      </c>
      <c r="W1" s="12" t="inlineStr">
        <is>
          <t>年度目标金额</t>
        </is>
      </c>
      <c r="X1" s="12" t="inlineStr">
        <is>
          <t>年度组内当前金额</t>
        </is>
      </c>
      <c r="Y1" s="12" t="inlineStr">
        <is>
          <t>年度资金缺口</t>
        </is>
      </c>
      <c r="Z1" s="12" t="inlineStr">
        <is>
          <t>年度完成率</t>
        </is>
      </c>
      <c r="AA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观察仓</t>
        </is>
      </c>
      <c r="D2" s="28" t="n">
        <v/>
      </c>
      <c r="E2" s="29" t="n"/>
      <c r="F2" s="28" t="n"/>
      <c r="G2" s="28" t="n"/>
      <c r="H2" s="28" t="n"/>
      <c r="I2" s="28" t="n"/>
      <c r="J2" s="35" t="n"/>
      <c r="K2" s="35" t="n"/>
      <c r="L2" s="9" t="n"/>
      <c r="M2" s="13" t="inlineStr">
        <is>
          <t>量能替代：缺少成交额/20日均额</t>
        </is>
      </c>
      <c r="N2" s="13" t="inlineStr">
        <is>
          <t>折溢价替代：缺少涨跌幅</t>
        </is>
      </c>
      <c r="O2" s="13" t="inlineStr">
        <is>
          <t>角色替代：观察仓</t>
        </is>
      </c>
      <c r="P2" s="13" t="n"/>
      <c r="Q2" s="9" t="n"/>
      <c r="R2" s="13" t="n"/>
      <c r="S2" s="13" t="inlineStr">
        <is>
          <t>券商截图</t>
        </is>
      </c>
      <c r="T2" s="13" t="inlineStr">
        <is>
          <t>总量锚；未取到行情</t>
        </is>
      </c>
      <c r="U2" s="9" t="n"/>
      <c r="V2" s="16" t="n">
        <v/>
      </c>
      <c r="W2" s="17" t="n">
        <v/>
      </c>
      <c r="X2" s="17" t="n">
        <v/>
      </c>
      <c r="Y2" s="17" t="n">
        <v/>
      </c>
      <c r="Z2" s="16" t="n">
        <v/>
      </c>
      <c r="AA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观察仓</t>
        </is>
      </c>
      <c r="D3" s="28" t="n">
        <v/>
      </c>
      <c r="E3" s="29" t="n"/>
      <c r="F3" s="28" t="n"/>
      <c r="G3" s="28" t="n"/>
      <c r="H3" s="28" t="n"/>
      <c r="I3" s="28" t="n"/>
      <c r="J3" s="35" t="n"/>
      <c r="K3" s="35" t="n"/>
      <c r="L3" s="9" t="n"/>
      <c r="M3" s="13" t="inlineStr">
        <is>
          <t>量能替代：缺少成交额/20日均额</t>
        </is>
      </c>
      <c r="N3" s="13" t="inlineStr">
        <is>
          <t>折溢价替代：缺少涨跌幅</t>
        </is>
      </c>
      <c r="O3" s="13" t="inlineStr">
        <is>
          <t>角色替代：观察仓</t>
        </is>
      </c>
      <c r="P3" s="13" t="n"/>
      <c r="Q3" s="9" t="n"/>
      <c r="R3" s="13" t="n"/>
      <c r="S3" s="13" t="inlineStr">
        <is>
          <t>券商截图</t>
        </is>
      </c>
      <c r="T3" s="13" t="inlineStr">
        <is>
          <t>总量锚；未取到行情</t>
        </is>
      </c>
      <c r="U3" s="9" t="n"/>
      <c r="V3" s="16" t="n">
        <v/>
      </c>
      <c r="W3" s="17" t="n">
        <v/>
      </c>
      <c r="X3" s="17" t="n">
        <v/>
      </c>
      <c r="Y3" s="17" t="n">
        <v/>
      </c>
      <c r="Z3" s="16" t="n">
        <v/>
      </c>
      <c r="AA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观察仓</t>
        </is>
      </c>
      <c r="D4" s="28" t="n">
        <v/>
      </c>
      <c r="E4" s="29" t="n"/>
      <c r="F4" s="28" t="n"/>
      <c r="G4" s="28" t="n"/>
      <c r="H4" s="28" t="n"/>
      <c r="I4" s="28" t="n"/>
      <c r="J4" s="35" t="n"/>
      <c r="K4" s="35" t="n"/>
      <c r="L4" s="9" t="n"/>
      <c r="M4" s="13" t="inlineStr">
        <is>
          <t>量能替代：缺少成交额/20日均额</t>
        </is>
      </c>
      <c r="N4" s="13" t="inlineStr">
        <is>
          <t>折溢价替代：缺少涨跌幅</t>
        </is>
      </c>
      <c r="O4" s="13" t="inlineStr">
        <is>
          <t>角色替代：观察仓</t>
        </is>
      </c>
      <c r="P4" s="13" t="n"/>
      <c r="Q4" s="9" t="n"/>
      <c r="R4" s="13" t="n"/>
      <c r="S4" s="13" t="inlineStr">
        <is>
          <t>券商截图</t>
        </is>
      </c>
      <c r="T4" s="13" t="inlineStr">
        <is>
          <t>总量锚；未取到行情</t>
        </is>
      </c>
      <c r="U4" s="9" t="n"/>
      <c r="V4" s="16" t="n">
        <v/>
      </c>
      <c r="W4" s="17" t="n">
        <v/>
      </c>
      <c r="X4" s="17" t="n">
        <v/>
      </c>
      <c r="Y4" s="17" t="n">
        <v/>
      </c>
      <c r="Z4" s="16" t="n">
        <v/>
      </c>
      <c r="AA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观察仓</t>
        </is>
      </c>
      <c r="D5" s="28" t="n">
        <v/>
      </c>
      <c r="E5" s="29" t="n"/>
      <c r="F5" s="28" t="n"/>
      <c r="G5" s="28" t="n"/>
      <c r="H5" s="28" t="n"/>
      <c r="I5" s="28" t="n"/>
      <c r="J5" s="35" t="n"/>
      <c r="K5" s="35" t="n"/>
      <c r="L5" s="9" t="n"/>
      <c r="M5" s="13" t="inlineStr">
        <is>
          <t>量能替代：缺少成交额/20日均额</t>
        </is>
      </c>
      <c r="N5" s="13" t="inlineStr">
        <is>
          <t>折溢价替代：缺少涨跌幅</t>
        </is>
      </c>
      <c r="O5" s="13" t="inlineStr">
        <is>
          <t>角色替代：观察仓</t>
        </is>
      </c>
      <c r="P5" s="13" t="n"/>
      <c r="Q5" s="9" t="n"/>
      <c r="R5" s="13" t="n"/>
      <c r="S5" s="13" t="inlineStr">
        <is>
          <t>券商截图</t>
        </is>
      </c>
      <c r="T5" s="13" t="inlineStr">
        <is>
          <t>成长锚；未取到行情</t>
        </is>
      </c>
      <c r="U5" s="9" t="n"/>
      <c r="V5" s="16" t="n">
        <v/>
      </c>
      <c r="W5" s="17" t="n">
        <v/>
      </c>
      <c r="X5" s="17" t="n">
        <v/>
      </c>
      <c r="Y5" s="17" t="n">
        <v/>
      </c>
      <c r="Z5" s="16" t="n">
        <v/>
      </c>
      <c r="AA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观察仓</t>
        </is>
      </c>
      <c r="D6" s="28" t="n">
        <v/>
      </c>
      <c r="E6" s="29" t="n"/>
      <c r="F6" s="28" t="n"/>
      <c r="G6" s="28" t="n"/>
      <c r="H6" s="28" t="n"/>
      <c r="I6" s="28" t="n"/>
      <c r="J6" s="35" t="n"/>
      <c r="K6" s="35" t="n"/>
      <c r="L6" s="9" t="n"/>
      <c r="M6" s="13" t="inlineStr">
        <is>
          <t>量能替代：缺少成交额/20日均额</t>
        </is>
      </c>
      <c r="N6" s="13" t="inlineStr">
        <is>
          <t>折溢价替代：缺少涨跌幅</t>
        </is>
      </c>
      <c r="O6" s="13" t="inlineStr">
        <is>
          <t>角色替代：观察仓</t>
        </is>
      </c>
      <c r="P6" s="13" t="n"/>
      <c r="Q6" s="9" t="n"/>
      <c r="R6" s="13" t="n"/>
      <c r="S6" s="13" t="inlineStr">
        <is>
          <t>券商截图</t>
        </is>
      </c>
      <c r="T6" s="13" t="inlineStr">
        <is>
          <t>成长锚；未取到行情</t>
        </is>
      </c>
      <c r="U6" s="9" t="n"/>
      <c r="V6" s="16" t="n">
        <v/>
      </c>
      <c r="W6" s="17" t="n">
        <v/>
      </c>
      <c r="X6" s="17" t="n">
        <v/>
      </c>
      <c r="Y6" s="17" t="n">
        <v/>
      </c>
      <c r="Z6" s="16" t="n">
        <v/>
      </c>
      <c r="AA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核心成长层</t>
        </is>
      </c>
      <c r="D7" s="28" t="n">
        <v>1.516</v>
      </c>
      <c r="E7" s="29" t="n"/>
      <c r="F7" s="28" t="n"/>
      <c r="G7" s="28" t="n"/>
      <c r="H7" s="28" t="n"/>
      <c r="I7" s="28" t="n"/>
      <c r="J7" s="35" t="n"/>
      <c r="K7" s="35" t="n"/>
      <c r="L7" s="9" t="n"/>
      <c r="M7" s="13" t="inlineStr">
        <is>
          <t>量能替代：缺少成交额/20日均额</t>
        </is>
      </c>
      <c r="N7" s="13" t="inlineStr">
        <is>
          <t>折溢价替代：缺少涨跌幅</t>
        </is>
      </c>
      <c r="O7" s="13" t="inlineStr">
        <is>
          <t>角色替代：核心持有（核心成长层）</t>
        </is>
      </c>
      <c r="P7" s="13" t="n"/>
      <c r="Q7" s="9" t="n"/>
      <c r="R7" s="13" t="n"/>
      <c r="S7" s="13" t="inlineStr">
        <is>
          <t>券商截图</t>
        </is>
      </c>
      <c r="T7" s="13" t="inlineStr">
        <is>
          <t>第一核心候选；未取到行情，使用券商截图价格</t>
        </is>
      </c>
      <c r="U7" s="9" t="inlineStr">
        <is>
          <t>半导体设备ETF 159516</t>
        </is>
      </c>
      <c r="V7" s="16" t="n">
        <v>0.08</v>
      </c>
      <c r="W7" s="17" t="n">
        <v>382640</v>
      </c>
      <c r="X7" s="17" t="n">
        <v>60640</v>
      </c>
      <c r="Y7" s="17" t="n">
        <v>322000</v>
      </c>
      <c r="Z7" s="16" t="n">
        <v>0.158477942713778</v>
      </c>
      <c r="AA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核心成长层</t>
        </is>
      </c>
      <c r="D8" s="28" t="n">
        <v>1.168</v>
      </c>
      <c r="E8" s="29" t="n"/>
      <c r="F8" s="28" t="n"/>
      <c r="G8" s="28" t="n"/>
      <c r="H8" s="28" t="n"/>
      <c r="I8" s="28" t="n"/>
      <c r="J8" s="35" t="n"/>
      <c r="K8" s="35" t="n"/>
      <c r="L8" s="9" t="n"/>
      <c r="M8" s="13" t="inlineStr">
        <is>
          <t>量能替代：缺少成交额/20日均额</t>
        </is>
      </c>
      <c r="N8" s="13" t="inlineStr">
        <is>
          <t>折溢价替代：缺少涨跌幅</t>
        </is>
      </c>
      <c r="O8" s="13" t="inlineStr">
        <is>
          <t>角色替代：核心持有（核心成长层）</t>
        </is>
      </c>
      <c r="P8" s="13" t="n"/>
      <c r="Q8" s="9" t="n"/>
      <c r="R8" s="13" t="n"/>
      <c r="S8" s="13" t="inlineStr">
        <is>
          <t>券商截图</t>
        </is>
      </c>
      <c r="T8" s="13" t="inlineStr">
        <is>
          <t>持有不加；未取到行情，使用券商截图价格</t>
        </is>
      </c>
      <c r="U8" s="9" t="inlineStr">
        <is>
          <t>机器人ETF 562500</t>
        </is>
      </c>
      <c r="V8" s="16" t="n">
        <v>0.08</v>
      </c>
      <c r="W8" s="17" t="n">
        <v>382640</v>
      </c>
      <c r="X8" s="17" t="n">
        <v>139459.2</v>
      </c>
      <c r="Y8" s="17" t="n">
        <v>243180.8</v>
      </c>
      <c r="Z8" s="16" t="n">
        <v>0.364465816433201</v>
      </c>
      <c r="AA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观察仓</t>
        </is>
      </c>
      <c r="D9" s="28" t="n">
        <v>1.445</v>
      </c>
      <c r="E9" s="29" t="n"/>
      <c r="F9" s="28" t="n"/>
      <c r="G9" s="28" t="n"/>
      <c r="H9" s="28" t="n"/>
      <c r="I9" s="28" t="n"/>
      <c r="J9" s="35" t="n"/>
      <c r="K9" s="35" t="n"/>
      <c r="L9" s="9" t="n"/>
      <c r="M9" s="13" t="inlineStr">
        <is>
          <t>量能替代：缺少成交额/20日均额</t>
        </is>
      </c>
      <c r="N9" s="13" t="inlineStr">
        <is>
          <t>折溢价替代：缺少涨跌幅</t>
        </is>
      </c>
      <c r="O9" s="13" t="inlineStr">
        <is>
          <t>角色替代：观察仓</t>
        </is>
      </c>
      <c r="P9" s="13" t="n"/>
      <c r="Q9" s="9" t="n"/>
      <c r="R9" s="13" t="n"/>
      <c r="S9" s="13" t="inlineStr">
        <is>
          <t>券商截图</t>
        </is>
      </c>
      <c r="T9" s="13" t="inlineStr">
        <is>
          <t>AI观察仓；未取到行情，使用券商截图价格</t>
        </is>
      </c>
      <c r="U9" s="9" t="inlineStr">
        <is>
          <t>创业板人工智能ETF 159381</t>
        </is>
      </c>
      <c r="V9" s="16" t="n">
        <v>0.06</v>
      </c>
      <c r="W9" s="17" t="n">
        <v>286980</v>
      </c>
      <c r="X9" s="17" t="n">
        <v>21675</v>
      </c>
      <c r="Y9" s="17" t="n">
        <v>265305</v>
      </c>
      <c r="Z9" s="16" t="n">
        <v>0.07552791135270751</v>
      </c>
      <c r="AA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观察仓</t>
        </is>
      </c>
      <c r="D10" s="28" t="n">
        <v/>
      </c>
      <c r="E10" s="29" t="n"/>
      <c r="F10" s="28" t="n"/>
      <c r="G10" s="28" t="n"/>
      <c r="H10" s="28" t="n"/>
      <c r="I10" s="28" t="n"/>
      <c r="J10" s="35" t="n"/>
      <c r="K10" s="35" t="n"/>
      <c r="L10" s="9" t="n"/>
      <c r="M10" s="13" t="inlineStr">
        <is>
          <t>量能替代：缺少成交额/20日均额</t>
        </is>
      </c>
      <c r="N10" s="13" t="inlineStr">
        <is>
          <t>折溢价替代：缺少涨跌幅</t>
        </is>
      </c>
      <c r="O10" s="13" t="inlineStr">
        <is>
          <t>角色替代：观察仓</t>
        </is>
      </c>
      <c r="P10" s="13" t="n"/>
      <c r="Q10" s="9" t="n"/>
      <c r="R10" s="13" t="n"/>
      <c r="S10" s="13" t="inlineStr">
        <is>
          <t>券商截图</t>
        </is>
      </c>
      <c r="T10" s="13" t="inlineStr">
        <is>
          <t>AI小观察仓；未取到行情</t>
        </is>
      </c>
      <c r="U10" s="9" t="n"/>
      <c r="V10" s="16" t="n">
        <v/>
      </c>
      <c r="W10" s="17" t="n">
        <v/>
      </c>
      <c r="X10" s="17" t="n">
        <v/>
      </c>
      <c r="Y10" s="17" t="n">
        <v/>
      </c>
      <c r="Z10" s="16" t="n">
        <v/>
      </c>
      <c r="AA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战术仓</t>
        </is>
      </c>
      <c r="D11" s="28" t="n">
        <v>1.712</v>
      </c>
      <c r="E11" s="29" t="n"/>
      <c r="F11" s="28" t="n"/>
      <c r="G11" s="28" t="n"/>
      <c r="H11" s="28" t="n"/>
      <c r="I11" s="28" t="n"/>
      <c r="J11" s="35" t="n"/>
      <c r="K11" s="35" t="n"/>
      <c r="L11" s="9" t="n"/>
      <c r="M11" s="13" t="inlineStr">
        <is>
          <t>量能替代：缺少成交额/20日均额</t>
        </is>
      </c>
      <c r="N11" s="13" t="inlineStr">
        <is>
          <t>折溢价替代：缺少涨跌幅</t>
        </is>
      </c>
      <c r="O11" s="13" t="inlineStr">
        <is>
          <t>角色替代：战术仓</t>
        </is>
      </c>
      <c r="P11" s="13" t="n"/>
      <c r="Q11" s="9" t="n"/>
      <c r="R11" s="13" t="n"/>
      <c r="S11" s="13" t="inlineStr">
        <is>
          <t>券商截图</t>
        </is>
      </c>
      <c r="T11" s="13" t="inlineStr">
        <is>
          <t>泛AI，反弹后降级；未取到行情，使用券商截图价格</t>
        </is>
      </c>
      <c r="U11" s="9" t="inlineStr">
        <is>
          <t>云计算ETF</t>
        </is>
      </c>
      <c r="V11" s="16" t="n">
        <v>0.03</v>
      </c>
      <c r="W11" s="17" t="n">
        <v>143490</v>
      </c>
      <c r="X11" s="17" t="n">
        <v>63344</v>
      </c>
      <c r="Y11" s="17" t="n">
        <v>80146</v>
      </c>
      <c r="Z11" s="16" t="n">
        <v>0.4414523660185379</v>
      </c>
      <c r="AA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观察仓</t>
        </is>
      </c>
      <c r="D12" s="28" t="n">
        <v/>
      </c>
      <c r="E12" s="29" t="n"/>
      <c r="F12" s="28" t="n"/>
      <c r="G12" s="28" t="n"/>
      <c r="H12" s="28" t="n"/>
      <c r="I12" s="28" t="n"/>
      <c r="J12" s="35" t="n"/>
      <c r="K12" s="35" t="n"/>
      <c r="L12" s="9" t="n"/>
      <c r="M12" s="13" t="inlineStr">
        <is>
          <t>量能替代：缺少成交额/20日均额</t>
        </is>
      </c>
      <c r="N12" s="13" t="inlineStr">
        <is>
          <t>折溢价替代：缺少涨跌幅</t>
        </is>
      </c>
      <c r="O12" s="13" t="inlineStr">
        <is>
          <t>角色替代：观察仓</t>
        </is>
      </c>
      <c r="P12" s="13" t="n"/>
      <c r="Q12" s="9" t="n"/>
      <c r="R12" s="13" t="n"/>
      <c r="S12" s="13" t="inlineStr">
        <is>
          <t>券商截图</t>
        </is>
      </c>
      <c r="T12" s="13" t="inlineStr">
        <is>
          <t>创新药价格提醒；未取到行情</t>
        </is>
      </c>
      <c r="U12" s="9" t="inlineStr">
        <is>
          <t>创新药ETF</t>
        </is>
      </c>
      <c r="V12" s="16" t="n">
        <v>0.02</v>
      </c>
      <c r="W12" s="17" t="n">
        <v>95660</v>
      </c>
      <c r="X12" s="17" t="n">
        <v>0</v>
      </c>
      <c r="Y12" s="17" t="n">
        <v>95660</v>
      </c>
      <c r="Z12" s="16" t="n">
        <v>0</v>
      </c>
      <c r="AA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低波权益层</t>
        </is>
      </c>
      <c r="D13" s="28" t="n">
        <v>1.323</v>
      </c>
      <c r="E13" s="29" t="n"/>
      <c r="F13" s="28" t="n"/>
      <c r="G13" s="28" t="n"/>
      <c r="H13" s="28" t="n"/>
      <c r="I13" s="28" t="n"/>
      <c r="J13" s="35" t="n"/>
      <c r="K13" s="35" t="n"/>
      <c r="L13" s="9" t="n"/>
      <c r="M13" s="13" t="inlineStr">
        <is>
          <t>量能替代：缺少成交额/20日均额</t>
        </is>
      </c>
      <c r="N13" s="13" t="inlineStr">
        <is>
          <t>折溢价替代：缺少涨跌幅</t>
        </is>
      </c>
      <c r="O13" s="13" t="inlineStr">
        <is>
          <t>角色替代：低波权益层</t>
        </is>
      </c>
      <c r="P13" s="13" t="n"/>
      <c r="Q13" s="9" t="n"/>
      <c r="R13" s="13" t="n"/>
      <c r="S13" s="13" t="inlineStr">
        <is>
          <t>券商截图</t>
        </is>
      </c>
      <c r="T13" s="13" t="inlineStr">
        <is>
          <t>低波权益；未取到行情，使用券商截图价格</t>
        </is>
      </c>
      <c r="U13" s="9" t="inlineStr">
        <is>
          <t>中证A500ETF</t>
        </is>
      </c>
      <c r="V13" s="16" t="n">
        <v>0.08</v>
      </c>
      <c r="W13" s="17" t="n">
        <v>382640</v>
      </c>
      <c r="X13" s="17" t="n">
        <v>109274.2</v>
      </c>
      <c r="Y13" s="17" t="n">
        <v>273365.8</v>
      </c>
      <c r="Z13" s="16" t="n">
        <v>0.285579657118963</v>
      </c>
      <c r="AA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低波权益层</t>
        </is>
      </c>
      <c r="D14" s="28" t="n">
        <v>1.115</v>
      </c>
      <c r="E14" s="29" t="n"/>
      <c r="F14" s="28" t="n"/>
      <c r="G14" s="28" t="n"/>
      <c r="H14" s="28" t="n"/>
      <c r="I14" s="28" t="n"/>
      <c r="J14" s="35" t="n"/>
      <c r="K14" s="35" t="n"/>
      <c r="L14" s="9" t="n"/>
      <c r="M14" s="13" t="inlineStr">
        <is>
          <t>量能替代：缺少成交额/20日均额</t>
        </is>
      </c>
      <c r="N14" s="13" t="inlineStr">
        <is>
          <t>折溢价替代：缺少涨跌幅</t>
        </is>
      </c>
      <c r="O14" s="13" t="inlineStr">
        <is>
          <t>角色替代：防守资产（低波权益层）</t>
        </is>
      </c>
      <c r="P14" s="13" t="n"/>
      <c r="Q14" s="9" t="n"/>
      <c r="R14" s="13" t="n"/>
      <c r="S14" s="13" t="inlineStr">
        <is>
          <t>券商截图</t>
        </is>
      </c>
      <c r="T14" s="13" t="inlineStr">
        <is>
          <t>低波权益；未取到行情，使用券商截图价格</t>
        </is>
      </c>
      <c r="U14" s="9" t="inlineStr">
        <is>
          <t>红利低波ETF</t>
        </is>
      </c>
      <c r="V14" s="16" t="n">
        <v>0.05</v>
      </c>
      <c r="W14" s="17" t="n">
        <v>239150</v>
      </c>
      <c r="X14" s="17" t="n">
        <v>42370</v>
      </c>
      <c r="Y14" s="17" t="n">
        <v>196780</v>
      </c>
      <c r="Z14" s="16" t="n">
        <v>0.1771691407066694</v>
      </c>
      <c r="AA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弹性低波层</t>
        </is>
      </c>
      <c r="D15" s="28" t="n">
        <v>12.833</v>
      </c>
      <c r="E15" s="29" t="n"/>
      <c r="F15" s="28" t="n"/>
      <c r="G15" s="28" t="n"/>
      <c r="H15" s="28" t="n"/>
      <c r="I15" s="28" t="n"/>
      <c r="J15" s="35" t="n"/>
      <c r="K15" s="35" t="n"/>
      <c r="L15" s="9" t="n"/>
      <c r="M15" s="13" t="inlineStr">
        <is>
          <t>量能替代：缺少成交额/20日均额</t>
        </is>
      </c>
      <c r="N15" s="13" t="inlineStr">
        <is>
          <t>折溢价替代：缺少涨跌幅</t>
        </is>
      </c>
      <c r="O15" s="13" t="inlineStr">
        <is>
          <t>角色替代：防守资产（弹性低波层）</t>
        </is>
      </c>
      <c r="P15" s="13" t="n"/>
      <c r="Q15" s="9" t="n"/>
      <c r="R15" s="13" t="n"/>
      <c r="S15" s="13" t="inlineStr">
        <is>
          <t>券商截图</t>
        </is>
      </c>
      <c r="T15" s="13" t="inlineStr">
        <is>
          <t>弹性低波；未取到行情，使用券商截图价格</t>
        </is>
      </c>
      <c r="U15" s="9" t="inlineStr">
        <is>
          <t>可转债ETF</t>
        </is>
      </c>
      <c r="V15" s="16" t="n">
        <v>0.1</v>
      </c>
      <c r="W15" s="17" t="n">
        <v>478300</v>
      </c>
      <c r="X15" s="17" t="n">
        <v>38499</v>
      </c>
      <c r="Y15" s="17" t="n">
        <v>439801</v>
      </c>
      <c r="Z15" s="16" t="n">
        <v>0.08049132343717333</v>
      </c>
      <c r="AA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纯防御层</t>
        </is>
      </c>
      <c r="D16" s="28" t="n">
        <v>141.388</v>
      </c>
      <c r="E16" s="29" t="n"/>
      <c r="F16" s="28" t="n"/>
      <c r="G16" s="28" t="n"/>
      <c r="H16" s="28" t="n"/>
      <c r="I16" s="28" t="n"/>
      <c r="J16" s="35" t="n"/>
      <c r="K16" s="35" t="n"/>
      <c r="L16" s="9" t="n"/>
      <c r="M16" s="13" t="inlineStr">
        <is>
          <t>量能替代：缺少成交额/20日均额</t>
        </is>
      </c>
      <c r="N16" s="13" t="inlineStr">
        <is>
          <t>折溢价替代：缺少涨跌幅</t>
        </is>
      </c>
      <c r="O16" s="13" t="inlineStr">
        <is>
          <t>角色替代：防守资产（纯防御层）</t>
        </is>
      </c>
      <c r="P16" s="13" t="n"/>
      <c r="Q16" s="9" t="n"/>
      <c r="R16" s="13" t="n"/>
      <c r="S16" s="13" t="inlineStr">
        <is>
          <t>券商截图</t>
        </is>
      </c>
      <c r="T16" s="13" t="inlineStr">
        <is>
          <t>纯防御；未取到行情，使用券商截图价格</t>
        </is>
      </c>
      <c r="U16" s="9" t="n"/>
      <c r="V16" s="16" t="n">
        <v/>
      </c>
      <c r="W16" s="17" t="n">
        <v/>
      </c>
      <c r="X16" s="17" t="n">
        <v/>
      </c>
      <c r="Y16" s="17" t="n">
        <v/>
      </c>
      <c r="Z16" s="16" t="n">
        <v/>
      </c>
      <c r="AA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遗留仓</t>
        </is>
      </c>
      <c r="D17" s="28" t="n">
        <v>88.64</v>
      </c>
      <c r="E17" s="29" t="n"/>
      <c r="F17" s="28" t="n"/>
      <c r="G17" s="28" t="n"/>
      <c r="H17" s="28" t="n"/>
      <c r="I17" s="28" t="n"/>
      <c r="J17" s="35" t="n"/>
      <c r="K17" s="35" t="n"/>
      <c r="L17" s="9" t="n"/>
      <c r="M17" s="13" t="inlineStr">
        <is>
          <t>量能替代：缺少成交额/20日均额</t>
        </is>
      </c>
      <c r="N17" s="13" t="inlineStr">
        <is>
          <t>折溢价替代：缺少涨跌幅</t>
        </is>
      </c>
      <c r="O17" s="13" t="inlineStr">
        <is>
          <t>角色替代：遗留仓</t>
        </is>
      </c>
      <c r="P17" s="13" t="n"/>
      <c r="Q17" s="9" t="n"/>
      <c r="R17" s="13" t="n"/>
      <c r="S17" s="13" t="inlineStr">
        <is>
          <t>券商截图</t>
        </is>
      </c>
      <c r="T17" s="13" t="inlineStr">
        <is>
          <t>非核心，反弹减；未取到行情，使用券商截图价格</t>
        </is>
      </c>
      <c r="U17" s="9" t="inlineStr">
        <is>
          <t>比亚迪+绿电+储能</t>
        </is>
      </c>
      <c r="V17" s="16" t="n">
        <v>0.03</v>
      </c>
      <c r="W17" s="17" t="n">
        <v>143490</v>
      </c>
      <c r="X17" s="17" t="n">
        <v>191942.4</v>
      </c>
      <c r="Y17" s="17" t="n">
        <v>-48452.39999999999</v>
      </c>
      <c r="Z17" s="16" t="n">
        <v>1.337670917833995</v>
      </c>
      <c r="AA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遗留仓</t>
        </is>
      </c>
      <c r="D18" s="28" t="n">
        <v>65.26000000000001</v>
      </c>
      <c r="E18" s="29" t="n"/>
      <c r="F18" s="28" t="n"/>
      <c r="G18" s="28" t="n"/>
      <c r="H18" s="28" t="n"/>
      <c r="I18" s="28" t="n"/>
      <c r="J18" s="35" t="n"/>
      <c r="K18" s="35" t="n"/>
      <c r="L18" s="9" t="n"/>
      <c r="M18" s="13" t="inlineStr">
        <is>
          <t>量能替代：缺少成交额/20日均额</t>
        </is>
      </c>
      <c r="N18" s="13" t="inlineStr">
        <is>
          <t>折溢价替代：缺少涨跌幅</t>
        </is>
      </c>
      <c r="O18" s="13" t="inlineStr">
        <is>
          <t>角色替代：遗留仓</t>
        </is>
      </c>
      <c r="P18" s="13" t="n"/>
      <c r="Q18" s="9" t="n"/>
      <c r="R18" s="13" t="n"/>
      <c r="S18" s="13" t="inlineStr">
        <is>
          <t>券商截图</t>
        </is>
      </c>
      <c r="T18" s="13" t="inlineStr">
        <is>
          <t>遗留仓，反弹减；未取到行情，使用券商截图价格</t>
        </is>
      </c>
      <c r="U18" s="9" t="n"/>
      <c r="V18" s="16" t="n">
        <v/>
      </c>
      <c r="W18" s="17" t="n">
        <v/>
      </c>
      <c r="X18" s="17" t="n">
        <v/>
      </c>
      <c r="Y18" s="17" t="n">
        <v/>
      </c>
      <c r="Z18" s="16" t="n">
        <v/>
      </c>
      <c r="AA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遗留仓</t>
        </is>
      </c>
      <c r="D19" s="28" t="n">
        <v>1.19</v>
      </c>
      <c r="E19" s="29" t="n"/>
      <c r="F19" s="28" t="n"/>
      <c r="G19" s="28" t="n"/>
      <c r="H19" s="28" t="n"/>
      <c r="I19" s="28" t="n"/>
      <c r="J19" s="35" t="n"/>
      <c r="K19" s="35" t="n"/>
      <c r="L19" s="9" t="n"/>
      <c r="M19" s="13" t="inlineStr">
        <is>
          <t>量能替代：缺少成交额/20日均额</t>
        </is>
      </c>
      <c r="N19" s="13" t="inlineStr">
        <is>
          <t>折溢价替代：缺少涨跌幅</t>
        </is>
      </c>
      <c r="O19" s="13" t="inlineStr">
        <is>
          <t>角色替代：遗留仓</t>
        </is>
      </c>
      <c r="P19" s="13" t="n"/>
      <c r="Q19" s="9" t="n"/>
      <c r="R19" s="13" t="n"/>
      <c r="S19" s="13" t="inlineStr">
        <is>
          <t>券商截图</t>
        </is>
      </c>
      <c r="T19" s="13" t="inlineStr">
        <is>
          <t>新能源冗余；未取到行情，使用券商截图价格</t>
        </is>
      </c>
      <c r="U19" s="9" t="inlineStr">
        <is>
          <t>比亚迪+绿电+储能</t>
        </is>
      </c>
      <c r="V19" s="16" t="n">
        <v>0.03</v>
      </c>
      <c r="W19" s="17" t="n">
        <v>143490</v>
      </c>
      <c r="X19" s="17" t="n">
        <v>191942.4</v>
      </c>
      <c r="Y19" s="17" t="n">
        <v>-48452.39999999999</v>
      </c>
      <c r="Z19" s="16" t="n">
        <v>1.337670917833995</v>
      </c>
      <c r="AA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遗留仓</t>
        </is>
      </c>
      <c r="D20" s="28" t="n">
        <v>2.296</v>
      </c>
      <c r="E20" s="29" t="n"/>
      <c r="F20" s="28" t="n"/>
      <c r="G20" s="28" t="n"/>
      <c r="H20" s="28" t="n"/>
      <c r="I20" s="28" t="n"/>
      <c r="J20" s="35" t="n"/>
      <c r="K20" s="35" t="n"/>
      <c r="L20" s="9" t="n"/>
      <c r="M20" s="13" t="inlineStr">
        <is>
          <t>量能替代：缺少成交额/20日均额</t>
        </is>
      </c>
      <c r="N20" s="13" t="inlineStr">
        <is>
          <t>折溢价替代：缺少涨跌幅</t>
        </is>
      </c>
      <c r="O20" s="13" t="inlineStr">
        <is>
          <t>角色替代：遗留仓</t>
        </is>
      </c>
      <c r="P20" s="13" t="n"/>
      <c r="Q20" s="9" t="n"/>
      <c r="R20" s="13" t="n"/>
      <c r="S20" s="13" t="inlineStr">
        <is>
          <t>券商截图</t>
        </is>
      </c>
      <c r="T20" s="13" t="inlineStr">
        <is>
          <t>新能源冗余；未取到行情，使用券商截图价格</t>
        </is>
      </c>
      <c r="U20" s="9" t="inlineStr">
        <is>
          <t>比亚迪+绿电+储能</t>
        </is>
      </c>
      <c r="V20" s="16" t="n">
        <v>0.03</v>
      </c>
      <c r="W20" s="17" t="n">
        <v>143490</v>
      </c>
      <c r="X20" s="17" t="n">
        <v>191942.4</v>
      </c>
      <c r="Y20" s="17" t="n">
        <v>-48452.39999999999</v>
      </c>
      <c r="Z20" s="16" t="n">
        <v>1.337670917833995</v>
      </c>
      <c r="AA20" s="9" t="inlineStr">
        <is>
          <t>达到或超过年度目标</t>
        </is>
      </c>
    </row>
    <row r="21">
      <c r="A21" s="15" t="inlineStr">
        <is>
          <t>510210</t>
        </is>
      </c>
      <c r="B21" s="9" t="inlineStr">
        <is>
          <t>上证ETF</t>
        </is>
      </c>
      <c r="C21" s="13" t="inlineStr">
        <is>
          <t>遗留仓</t>
        </is>
      </c>
      <c r="D21" s="28" t="n">
        <v>1.028</v>
      </c>
      <c r="E21" s="29" t="n"/>
      <c r="F21" s="28" t="n"/>
      <c r="G21" s="28" t="n"/>
      <c r="H21" s="28" t="n"/>
      <c r="I21" s="28" t="n"/>
      <c r="J21" s="35" t="n"/>
      <c r="K21" s="35" t="n"/>
      <c r="L21" s="9" t="n"/>
      <c r="M21" s="13" t="inlineStr">
        <is>
          <t>量能替代：缺少成交额/20日均额</t>
        </is>
      </c>
      <c r="N21" s="13" t="inlineStr">
        <is>
          <t>折溢价替代：缺少涨跌幅</t>
        </is>
      </c>
      <c r="O21" s="13" t="inlineStr">
        <is>
          <t>角色替代：遗留仓</t>
        </is>
      </c>
      <c r="P21" s="13" t="n"/>
      <c r="Q21" s="9" t="n"/>
      <c r="R21" s="13" t="n"/>
      <c r="S21" s="13" t="inlineStr">
        <is>
          <t>券商截图</t>
        </is>
      </c>
      <c r="T21" s="13" t="inlineStr">
        <is>
          <t>持仓补充行情；未取到行情，使用券商截图价格</t>
        </is>
      </c>
      <c r="U21" s="9" t="inlineStr">
        <is>
          <t>中证A500ETF</t>
        </is>
      </c>
      <c r="V21" s="16" t="n">
        <v>0.08</v>
      </c>
      <c r="W21" s="17" t="n">
        <v>382640</v>
      </c>
      <c r="X21" s="17" t="n">
        <v>109274.2</v>
      </c>
      <c r="Y21" s="17" t="n">
        <v>273365.8</v>
      </c>
      <c r="Z21" s="16" t="n">
        <v>0.285579657118963</v>
      </c>
      <c r="AA21" s="9" t="inlineStr">
        <is>
          <t>配置中</t>
        </is>
      </c>
    </row>
  </sheetData>
  <autoFilter ref="A1:AA2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26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8" customWidth="1" min="29" max="29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Shares</t>
        </is>
      </c>
      <c r="D1" s="12" t="inlineStr">
        <is>
          <t>Available Shares</t>
        </is>
      </c>
      <c r="E1" s="12" t="inlineStr">
        <is>
          <t>Cost</t>
        </is>
      </c>
      <c r="F1" s="12" t="inlineStr">
        <is>
          <t>Latest</t>
        </is>
      </c>
      <c r="G1" s="12" t="inlineStr">
        <is>
          <t>Latest Source</t>
        </is>
      </c>
      <c r="H1" s="12" t="inlineStr">
        <is>
          <t>Market Value</t>
        </is>
      </c>
      <c r="I1" s="12" t="inlineStr">
        <is>
          <t>P/L</t>
        </is>
      </c>
      <c r="J1" s="12" t="inlineStr">
        <is>
          <t>P/L%</t>
        </is>
      </c>
      <c r="K1" s="12" t="inlineStr">
        <is>
          <t>Today P/L</t>
        </is>
      </c>
      <c r="L1" s="12" t="inlineStr">
        <is>
          <t>Today P/L%</t>
        </is>
      </c>
      <c r="M1" s="12" t="inlineStr">
        <is>
          <t>Buy Avg</t>
        </is>
      </c>
      <c r="N1" s="12" t="inlineStr">
        <is>
          <t>Weight</t>
        </is>
      </c>
      <c r="O1" s="12" t="inlineStr">
        <is>
          <t>Full Asset Weight</t>
        </is>
      </c>
      <c r="P1" s="12" t="inlineStr">
        <is>
          <t>Broker Latest</t>
        </is>
      </c>
      <c r="Q1" s="12" t="inlineStr">
        <is>
          <t>Broker Market Value</t>
        </is>
      </c>
      <c r="R1" s="12" t="inlineStr">
        <is>
          <t>Broker Weight</t>
        </is>
      </c>
      <c r="S1" s="12" t="inlineStr">
        <is>
          <t>Role</t>
        </is>
      </c>
      <c r="T1" s="12" t="inlineStr">
        <is>
          <t>Target Weight</t>
        </is>
      </c>
      <c r="U1" s="12" t="inlineStr">
        <is>
          <t>Weight Gap</t>
        </is>
      </c>
      <c r="V1" s="12" t="inlineStr">
        <is>
          <t>V2.8.5 Action</t>
        </is>
      </c>
      <c r="W1" s="12" t="inlineStr">
        <is>
          <t>年度配置项</t>
        </is>
      </c>
      <c r="X1" s="12" t="inlineStr">
        <is>
          <t>年度全资产目标</t>
        </is>
      </c>
      <c r="Y1" s="12" t="inlineStr">
        <is>
          <t>年度目标金额</t>
        </is>
      </c>
      <c r="Z1" s="12" t="inlineStr">
        <is>
          <t>年度组内当前金额</t>
        </is>
      </c>
      <c r="AA1" s="12" t="inlineStr">
        <is>
          <t>年度资金缺口</t>
        </is>
      </c>
      <c r="AB1" s="12" t="inlineStr">
        <is>
          <t>年度完成率</t>
        </is>
      </c>
      <c r="AC1" s="12" t="inlineStr">
        <is>
          <t>年度配置状态</t>
        </is>
      </c>
    </row>
    <row r="2">
      <c r="A2" s="15" t="inlineStr">
        <is>
          <t>562500</t>
        </is>
      </c>
      <c r="B2" s="9" t="inlineStr">
        <is>
          <t>机器人ETF</t>
        </is>
      </c>
      <c r="C2" s="13" t="n">
        <v>119400</v>
      </c>
      <c r="D2" s="13" t="n">
        <v>119400</v>
      </c>
      <c r="E2" s="13" t="n">
        <v>1.05</v>
      </c>
      <c r="F2" s="28" t="n">
        <v>1.168</v>
      </c>
      <c r="G2" s="13" t="inlineStr">
        <is>
          <t>券商截图</t>
        </is>
      </c>
      <c r="H2" s="13" t="n">
        <v>139459.2</v>
      </c>
      <c r="I2" s="13" t="n">
        <v>14067.07</v>
      </c>
      <c r="J2" s="13" t="n">
        <v>0.1122</v>
      </c>
      <c r="K2" s="13" t="n">
        <v>2865.6</v>
      </c>
      <c r="L2" s="13" t="n">
        <v>0.021</v>
      </c>
      <c r="M2" s="13" t="n">
        <v>1.063</v>
      </c>
      <c r="N2" s="13" t="n">
        <v>0.1335</v>
      </c>
      <c r="O2" s="16" t="n">
        <v>0.0292</v>
      </c>
      <c r="P2" s="13" t="n">
        <v>1.168</v>
      </c>
      <c r="Q2" s="13" t="n">
        <v>139459.2</v>
      </c>
      <c r="R2" s="13" t="n">
        <v>0.1335</v>
      </c>
      <c r="S2" s="13" t="inlineStr">
        <is>
          <t>核心成长层</t>
        </is>
      </c>
      <c r="T2" s="13" t="n">
        <v>0.14</v>
      </c>
      <c r="U2" s="16" t="n">
        <v>-0.0065</v>
      </c>
      <c r="V2" s="13" t="inlineStr">
        <is>
          <t>持有/观察</t>
        </is>
      </c>
      <c r="W2" s="9" t="inlineStr">
        <is>
          <t>机器人ETF 562500</t>
        </is>
      </c>
      <c r="X2" s="16" t="n">
        <v>0.08</v>
      </c>
      <c r="Y2" s="17" t="n">
        <v>382640</v>
      </c>
      <c r="Z2" s="17" t="n">
        <v>139459.2</v>
      </c>
      <c r="AA2" s="17" t="n">
        <v>243180.8</v>
      </c>
      <c r="AB2" s="16" t="n">
        <v>0.364465816433201</v>
      </c>
      <c r="AC2" s="9" t="inlineStr">
        <is>
          <t>配置中</t>
        </is>
      </c>
    </row>
    <row r="3">
      <c r="A3" s="15" t="inlineStr">
        <is>
          <t>002594</t>
        </is>
      </c>
      <c r="B3" s="9" t="inlineStr">
        <is>
          <t>比亚迪</t>
        </is>
      </c>
      <c r="C3" s="13" t="n">
        <v>1100</v>
      </c>
      <c r="D3" s="13" t="n">
        <v>1100</v>
      </c>
      <c r="E3" s="13" t="n">
        <v>119.397</v>
      </c>
      <c r="F3" s="28" t="n">
        <v>88.64</v>
      </c>
      <c r="G3" s="13" t="inlineStr">
        <is>
          <t>券商截图</t>
        </is>
      </c>
      <c r="H3" s="13" t="n">
        <v>97504</v>
      </c>
      <c r="I3" s="13" t="n">
        <v>-33833.18</v>
      </c>
      <c r="J3" s="13" t="n">
        <v>-0.2576</v>
      </c>
      <c r="K3" s="13" t="n">
        <v>1287</v>
      </c>
      <c r="L3" s="13" t="n">
        <v>0.0134</v>
      </c>
      <c r="M3" s="13" t="n">
        <v>118.517</v>
      </c>
      <c r="N3" s="13" t="n">
        <v>0.09329999999999999</v>
      </c>
      <c r="O3" s="16" t="n">
        <v>0.0204</v>
      </c>
      <c r="P3" s="13" t="n">
        <v>88.64</v>
      </c>
      <c r="Q3" s="13" t="n">
        <v>97504</v>
      </c>
      <c r="R3" s="13" t="n">
        <v>0.09329999999999999</v>
      </c>
      <c r="S3" s="13" t="inlineStr">
        <is>
          <t>遗留仓</t>
        </is>
      </c>
      <c r="T3" s="13" t="n">
        <v>0.05</v>
      </c>
      <c r="U3" s="16" t="n">
        <v>0.0433</v>
      </c>
      <c r="V3" s="13" t="inlineStr">
        <is>
          <t>超目标，考虑减仓</t>
        </is>
      </c>
      <c r="W3" s="9" t="inlineStr">
        <is>
          <t>比亚迪+绿电+储能</t>
        </is>
      </c>
      <c r="X3" s="16" t="n">
        <v>0.03</v>
      </c>
      <c r="Y3" s="17" t="n">
        <v>143490</v>
      </c>
      <c r="Z3" s="17" t="n">
        <v>191942.4</v>
      </c>
      <c r="AA3" s="17" t="n">
        <v>-48452.39999999999</v>
      </c>
      <c r="AB3" s="16" t="n">
        <v>1.337670917833995</v>
      </c>
      <c r="AC3" s="9" t="inlineStr">
        <is>
          <t>达到或超过年度目标</t>
        </is>
      </c>
    </row>
    <row r="4">
      <c r="A4" s="15" t="inlineStr">
        <is>
          <t>159338</t>
        </is>
      </c>
      <c r="B4" s="9" t="inlineStr">
        <is>
          <t>中证A500ETF</t>
        </is>
      </c>
      <c r="C4" s="13" t="n">
        <v>55400</v>
      </c>
      <c r="D4" s="13" t="n">
        <v>55400</v>
      </c>
      <c r="E4" s="13" t="n">
        <v>1.29</v>
      </c>
      <c r="F4" s="28" t="n">
        <v>1.323</v>
      </c>
      <c r="G4" s="13" t="inlineStr">
        <is>
          <t>券商截图</t>
        </is>
      </c>
      <c r="H4" s="13" t="n">
        <v>73294.2</v>
      </c>
      <c r="I4" s="13" t="n">
        <v>1847.05</v>
      </c>
      <c r="J4" s="13" t="n">
        <v>0.0258</v>
      </c>
      <c r="K4" s="13" t="n">
        <v>498.6</v>
      </c>
      <c r="L4" s="13" t="n">
        <v>0.0068</v>
      </c>
      <c r="M4" s="13" t="n">
        <v>1.29</v>
      </c>
      <c r="N4" s="13" t="n">
        <v>0.0702</v>
      </c>
      <c r="O4" s="16" t="n">
        <v>0.0153</v>
      </c>
      <c r="P4" s="13" t="n">
        <v>1.323</v>
      </c>
      <c r="Q4" s="13" t="n">
        <v>73294.2</v>
      </c>
      <c r="R4" s="13" t="n">
        <v>0.0702</v>
      </c>
      <c r="S4" s="13" t="inlineStr">
        <is>
          <t>低波权益层</t>
        </is>
      </c>
      <c r="T4" s="13" t="n">
        <v>0.06</v>
      </c>
      <c r="U4" s="16" t="n">
        <v>0.0102</v>
      </c>
      <c r="V4" s="13" t="inlineStr">
        <is>
          <t>超目标，考虑减仓</t>
        </is>
      </c>
      <c r="W4" s="9" t="inlineStr">
        <is>
          <t>中证A500ETF</t>
        </is>
      </c>
      <c r="X4" s="16" t="n">
        <v>0.08</v>
      </c>
      <c r="Y4" s="17" t="n">
        <v>382640</v>
      </c>
      <c r="Z4" s="17" t="n">
        <v>109274.2</v>
      </c>
      <c r="AA4" s="17" t="n">
        <v>273365.8</v>
      </c>
      <c r="AB4" s="16" t="n">
        <v>0.285579657118963</v>
      </c>
      <c r="AC4" s="9" t="inlineStr">
        <is>
          <t>配置中</t>
        </is>
      </c>
    </row>
    <row r="5">
      <c r="A5" s="15" t="inlineStr">
        <is>
          <t>516630</t>
        </is>
      </c>
      <c r="B5" s="9" t="inlineStr">
        <is>
          <t>云计算ETF</t>
        </is>
      </c>
      <c r="C5" s="13" t="n">
        <v>37000</v>
      </c>
      <c r="D5" s="13" t="n">
        <v>37000</v>
      </c>
      <c r="E5" s="13" t="n">
        <v>1.804</v>
      </c>
      <c r="F5" s="28" t="n">
        <v>1.712</v>
      </c>
      <c r="G5" s="13" t="inlineStr">
        <is>
          <t>券商截图</t>
        </is>
      </c>
      <c r="H5" s="13" t="n">
        <v>63344</v>
      </c>
      <c r="I5" s="13" t="n">
        <v>-3415.68</v>
      </c>
      <c r="J5" s="13" t="n">
        <v>-0.0512</v>
      </c>
      <c r="K5" s="13" t="n">
        <v>1480</v>
      </c>
      <c r="L5" s="13" t="n">
        <v>0.0239</v>
      </c>
      <c r="M5" s="13" t="n">
        <v>1.804</v>
      </c>
      <c r="N5" s="13" t="n">
        <v>0.0606</v>
      </c>
      <c r="O5" s="16" t="n">
        <v>0.0132</v>
      </c>
      <c r="P5" s="13" t="n">
        <v>1.712</v>
      </c>
      <c r="Q5" s="13" t="n">
        <v>63344</v>
      </c>
      <c r="R5" s="13" t="n">
        <v>0.0606</v>
      </c>
      <c r="S5" s="13" t="inlineStr">
        <is>
          <t>战术仓</t>
        </is>
      </c>
      <c r="T5" s="13" t="n">
        <v>0.03</v>
      </c>
      <c r="U5" s="16" t="n">
        <v>0.0306</v>
      </c>
      <c r="V5" s="13" t="inlineStr">
        <is>
          <t>超目标，考虑减仓</t>
        </is>
      </c>
      <c r="W5" s="9" t="inlineStr">
        <is>
          <t>云计算ETF</t>
        </is>
      </c>
      <c r="X5" s="16" t="n">
        <v>0.03</v>
      </c>
      <c r="Y5" s="17" t="n">
        <v>143490</v>
      </c>
      <c r="Z5" s="17" t="n">
        <v>63344</v>
      </c>
      <c r="AA5" s="17" t="n">
        <v>80146</v>
      </c>
      <c r="AB5" s="16" t="n">
        <v>0.4414523660185379</v>
      </c>
      <c r="AC5" s="9" t="inlineStr">
        <is>
          <t>配置中</t>
        </is>
      </c>
    </row>
    <row r="6">
      <c r="A6" s="15" t="inlineStr">
        <is>
          <t>159516</t>
        </is>
      </c>
      <c r="B6" s="9" t="inlineStr">
        <is>
          <t>半导体设备ETF</t>
        </is>
      </c>
      <c r="C6" s="13" t="n">
        <v>40000</v>
      </c>
      <c r="D6" s="13" t="n">
        <v>20000</v>
      </c>
      <c r="E6" s="13" t="n">
        <v>1.44</v>
      </c>
      <c r="F6" s="28" t="n">
        <v>1.516</v>
      </c>
      <c r="G6" s="13" t="inlineStr">
        <is>
          <t>券商截图</t>
        </is>
      </c>
      <c r="H6" s="13" t="n">
        <v>60640</v>
      </c>
      <c r="I6" s="13" t="n">
        <v>3034.24</v>
      </c>
      <c r="J6" s="13" t="n">
        <v>0.0527</v>
      </c>
      <c r="K6" s="13" t="n">
        <v>496.98</v>
      </c>
      <c r="L6" s="13" t="n">
        <v>0.0083</v>
      </c>
      <c r="M6" s="13" t="n">
        <v>1.44</v>
      </c>
      <c r="N6" s="13" t="n">
        <v>0.058</v>
      </c>
      <c r="O6" s="16" t="n">
        <v>0.0127</v>
      </c>
      <c r="P6" s="13" t="n">
        <v>1.516</v>
      </c>
      <c r="Q6" s="13" t="n">
        <v>60640</v>
      </c>
      <c r="R6" s="13" t="n">
        <v>0.058</v>
      </c>
      <c r="S6" s="13" t="inlineStr">
        <is>
          <t>核心成长层</t>
        </is>
      </c>
      <c r="T6" s="13" t="n">
        <v>0.05</v>
      </c>
      <c r="U6" s="16" t="n">
        <v>0.008</v>
      </c>
      <c r="V6" s="13" t="inlineStr">
        <is>
          <t>超目标，考虑减仓</t>
        </is>
      </c>
      <c r="W6" s="9" t="inlineStr">
        <is>
          <t>半导体设备ETF 159516</t>
        </is>
      </c>
      <c r="X6" s="16" t="n">
        <v>0.08</v>
      </c>
      <c r="Y6" s="17" t="n">
        <v>382640</v>
      </c>
      <c r="Z6" s="17" t="n">
        <v>60640</v>
      </c>
      <c r="AA6" s="17" t="n">
        <v>322000</v>
      </c>
      <c r="AB6" s="16" t="n">
        <v>0.158477942713778</v>
      </c>
      <c r="AC6" s="9" t="inlineStr">
        <is>
          <t>配置中</t>
        </is>
      </c>
    </row>
    <row r="7">
      <c r="A7" s="15" t="inlineStr">
        <is>
          <t>511010</t>
        </is>
      </c>
      <c r="B7" s="9" t="inlineStr">
        <is>
          <t>国债ETF</t>
        </is>
      </c>
      <c r="C7" s="13" t="n">
        <v>400</v>
      </c>
      <c r="D7" s="13" t="n">
        <v>400</v>
      </c>
      <c r="E7" s="13" t="n">
        <v>141.224</v>
      </c>
      <c r="F7" s="28" t="n">
        <v>141.388</v>
      </c>
      <c r="G7" s="13" t="inlineStr">
        <is>
          <t>券商截图</t>
        </is>
      </c>
      <c r="H7" s="13" t="n">
        <v>56555.2</v>
      </c>
      <c r="I7" s="13" t="n">
        <v>65.7</v>
      </c>
      <c r="J7" s="13" t="n">
        <v>0.0012</v>
      </c>
      <c r="K7" s="13" t="n">
        <v>16</v>
      </c>
      <c r="L7" s="13" t="n">
        <v>0.0003</v>
      </c>
      <c r="M7" s="13" t="n">
        <v>141.224</v>
      </c>
      <c r="N7" s="13" t="n">
        <v>0.0541</v>
      </c>
      <c r="O7" s="16" t="n">
        <v>0.0118</v>
      </c>
      <c r="P7" s="13" t="n">
        <v>141.388</v>
      </c>
      <c r="Q7" s="13" t="n">
        <v>56555.2</v>
      </c>
      <c r="R7" s="13" t="n">
        <v>0.0541</v>
      </c>
      <c r="S7" s="13" t="inlineStr">
        <is>
          <t>纯防御层</t>
        </is>
      </c>
      <c r="T7" s="13" t="n">
        <v>0.04</v>
      </c>
      <c r="U7" s="16" t="n">
        <v>0.0141</v>
      </c>
      <c r="V7" s="13" t="inlineStr">
        <is>
          <t>超目标，考虑减仓</t>
        </is>
      </c>
      <c r="W7" s="9" t="n"/>
      <c r="X7" s="16" t="n">
        <v/>
      </c>
      <c r="Y7" s="17" t="n">
        <v/>
      </c>
      <c r="Z7" s="17" t="n">
        <v/>
      </c>
      <c r="AA7" s="17" t="n">
        <v/>
      </c>
      <c r="AB7" s="16" t="n">
        <v/>
      </c>
      <c r="AC7" s="9" t="n"/>
    </row>
    <row r="8">
      <c r="A8" s="15" t="inlineStr">
        <is>
          <t>688083</t>
        </is>
      </c>
      <c r="B8" s="9" t="inlineStr">
        <is>
          <t>中望软件</t>
        </is>
      </c>
      <c r="C8" s="13" t="n">
        <v>847</v>
      </c>
      <c r="D8" s="13" t="n">
        <v>847</v>
      </c>
      <c r="E8" s="13" t="n">
        <v>126.046</v>
      </c>
      <c r="F8" s="28" t="n">
        <v>65.26000000000001</v>
      </c>
      <c r="G8" s="13" t="inlineStr">
        <is>
          <t>券商截图</t>
        </is>
      </c>
      <c r="H8" s="13" t="n">
        <v>55275.22</v>
      </c>
      <c r="I8" s="13" t="n">
        <v>-51485.42</v>
      </c>
      <c r="J8" s="13" t="n">
        <v>-0.4823</v>
      </c>
      <c r="K8" s="13" t="n">
        <v>296.45</v>
      </c>
      <c r="L8" s="13" t="n">
        <v>0.0054</v>
      </c>
      <c r="M8" s="13" t="n">
        <v>76.407</v>
      </c>
      <c r="N8" s="13" t="n">
        <v>0.0529</v>
      </c>
      <c r="O8" s="16" t="n">
        <v>0.0116</v>
      </c>
      <c r="P8" s="13" t="n">
        <v>65.26000000000001</v>
      </c>
      <c r="Q8" s="13" t="n">
        <v>55275.22</v>
      </c>
      <c r="R8" s="13" t="n">
        <v>0.0529</v>
      </c>
      <c r="S8" s="13" t="inlineStr">
        <is>
          <t>遗留仓</t>
        </is>
      </c>
      <c r="T8" s="13" t="n">
        <v>0.02</v>
      </c>
      <c r="U8" s="16" t="n">
        <v>0.0329</v>
      </c>
      <c r="V8" s="13" t="inlineStr">
        <is>
          <t>超目标，考虑减仓</t>
        </is>
      </c>
      <c r="W8" s="9" t="n"/>
      <c r="X8" s="16" t="n">
        <v/>
      </c>
      <c r="Y8" s="17" t="n">
        <v/>
      </c>
      <c r="Z8" s="17" t="n">
        <v/>
      </c>
      <c r="AA8" s="17" t="n">
        <v/>
      </c>
      <c r="AB8" s="16" t="n">
        <v/>
      </c>
      <c r="AC8" s="9" t="n"/>
    </row>
    <row r="9">
      <c r="A9" s="15" t="inlineStr">
        <is>
          <t>562550</t>
        </is>
      </c>
      <c r="B9" s="9" t="inlineStr">
        <is>
          <t>绿电ETF</t>
        </is>
      </c>
      <c r="C9" s="13" t="n">
        <v>40000</v>
      </c>
      <c r="D9" s="13" t="n">
        <v>40000</v>
      </c>
      <c r="E9" s="13" t="n">
        <v>1.26</v>
      </c>
      <c r="F9" s="28" t="n">
        <v>1.19</v>
      </c>
      <c r="G9" s="13" t="inlineStr">
        <is>
          <t>券商截图</t>
        </is>
      </c>
      <c r="H9" s="13" t="n">
        <v>47600</v>
      </c>
      <c r="I9" s="13" t="n">
        <v>-2814.49</v>
      </c>
      <c r="J9" s="13" t="n">
        <v>-0.0559</v>
      </c>
      <c r="K9" s="13" t="n">
        <v>-1560</v>
      </c>
      <c r="L9" s="13" t="n">
        <v>-0.0317</v>
      </c>
      <c r="M9" s="13" t="n">
        <v>1.258</v>
      </c>
      <c r="N9" s="13" t="n">
        <v>0.0456</v>
      </c>
      <c r="O9" s="16" t="n">
        <v>0.01</v>
      </c>
      <c r="P9" s="13" t="n">
        <v>1.19</v>
      </c>
      <c r="Q9" s="13" t="n">
        <v>47600</v>
      </c>
      <c r="R9" s="13" t="n">
        <v>0.0456</v>
      </c>
      <c r="S9" s="13" t="inlineStr">
        <is>
          <t>遗留仓</t>
        </is>
      </c>
      <c r="T9" s="13" t="n">
        <v>0.03</v>
      </c>
      <c r="U9" s="16" t="n">
        <v>0.0156</v>
      </c>
      <c r="V9" s="13" t="inlineStr">
        <is>
          <t>超目标，考虑减仓</t>
        </is>
      </c>
      <c r="W9" s="9" t="inlineStr">
        <is>
          <t>比亚迪+绿电+储能</t>
        </is>
      </c>
      <c r="X9" s="16" t="n">
        <v>0.03</v>
      </c>
      <c r="Y9" s="17" t="n">
        <v>143490</v>
      </c>
      <c r="Z9" s="17" t="n">
        <v>191942.4</v>
      </c>
      <c r="AA9" s="17" t="n">
        <v>-48452.39999999999</v>
      </c>
      <c r="AB9" s="16" t="n">
        <v>1.337670917833995</v>
      </c>
      <c r="AC9" s="9" t="inlineStr">
        <is>
          <t>达到或超过年度目标</t>
        </is>
      </c>
    </row>
    <row r="10">
      <c r="A10" s="15" t="inlineStr">
        <is>
          <t>159566</t>
        </is>
      </c>
      <c r="B10" s="9" t="inlineStr">
        <is>
          <t>储能电池ETF</t>
        </is>
      </c>
      <c r="C10" s="13" t="n">
        <v>20400</v>
      </c>
      <c r="D10" s="13" t="n">
        <v>20400</v>
      </c>
      <c r="E10" s="13" t="n">
        <v>2.346</v>
      </c>
      <c r="F10" s="28" t="n">
        <v>2.296</v>
      </c>
      <c r="G10" s="13" t="inlineStr">
        <is>
          <t>券商截图</t>
        </is>
      </c>
      <c r="H10" s="13" t="n">
        <v>46838.4</v>
      </c>
      <c r="I10" s="13" t="n">
        <v>-1011.99</v>
      </c>
      <c r="J10" s="13" t="n">
        <v>-0.0211</v>
      </c>
      <c r="K10" s="13" t="n">
        <v>0</v>
      </c>
      <c r="L10" s="13" t="n">
        <v>0</v>
      </c>
      <c r="M10" s="13" t="n">
        <v>2.346</v>
      </c>
      <c r="N10" s="13" t="n">
        <v>0.0448</v>
      </c>
      <c r="O10" s="16" t="n">
        <v>0.0098</v>
      </c>
      <c r="P10" s="13" t="n">
        <v>2.296</v>
      </c>
      <c r="Q10" s="13" t="n">
        <v>46838.4</v>
      </c>
      <c r="R10" s="13" t="n">
        <v>0.0448</v>
      </c>
      <c r="S10" s="13" t="inlineStr">
        <is>
          <t>遗留仓</t>
        </is>
      </c>
      <c r="T10" s="13" t="n">
        <v>0.02</v>
      </c>
      <c r="U10" s="16" t="n">
        <v>0.0248</v>
      </c>
      <c r="V10" s="13" t="inlineStr">
        <is>
          <t>超目标，考虑减仓</t>
        </is>
      </c>
      <c r="W10" s="9" t="inlineStr">
        <is>
          <t>比亚迪+绿电+储能</t>
        </is>
      </c>
      <c r="X10" s="16" t="n">
        <v>0.03</v>
      </c>
      <c r="Y10" s="17" t="n">
        <v>143490</v>
      </c>
      <c r="Z10" s="17" t="n">
        <v>191942.4</v>
      </c>
      <c r="AA10" s="17" t="n">
        <v>-48452.39999999999</v>
      </c>
      <c r="AB10" s="16" t="n">
        <v>1.337670917833995</v>
      </c>
      <c r="AC10" s="9" t="inlineStr">
        <is>
          <t>达到或超过年度目标</t>
        </is>
      </c>
    </row>
    <row r="11">
      <c r="A11" s="15" t="inlineStr">
        <is>
          <t>512890</t>
        </is>
      </c>
      <c r="B11" s="9" t="inlineStr">
        <is>
          <t>红利低波ETF</t>
        </is>
      </c>
      <c r="C11" s="13" t="n">
        <v>38000</v>
      </c>
      <c r="D11" s="13" t="n">
        <v>38000</v>
      </c>
      <c r="E11" s="13" t="n">
        <v>1.16</v>
      </c>
      <c r="F11" s="28" t="n">
        <v>1.115</v>
      </c>
      <c r="G11" s="13" t="inlineStr">
        <is>
          <t>券商截图</t>
        </is>
      </c>
      <c r="H11" s="13" t="n">
        <v>42370</v>
      </c>
      <c r="I11" s="13" t="n">
        <v>-1704.41</v>
      </c>
      <c r="J11" s="13" t="n">
        <v>-0.0387</v>
      </c>
      <c r="K11" s="13" t="n">
        <v>-950</v>
      </c>
      <c r="L11" s="13" t="n">
        <v>-0.0219</v>
      </c>
      <c r="M11" s="13" t="n">
        <v>1.16</v>
      </c>
      <c r="N11" s="13" t="n">
        <v>0.0406</v>
      </c>
      <c r="O11" s="16" t="n">
        <v>0.0089</v>
      </c>
      <c r="P11" s="13" t="n">
        <v>1.115</v>
      </c>
      <c r="Q11" s="13" t="n">
        <v>42370</v>
      </c>
      <c r="R11" s="13" t="n">
        <v>0.0406</v>
      </c>
      <c r="S11" s="13" t="inlineStr">
        <is>
          <t>低波权益层</t>
        </is>
      </c>
      <c r="T11" s="13" t="n">
        <v>0.05</v>
      </c>
      <c r="U11" s="16" t="n">
        <v>-0.0094</v>
      </c>
      <c r="V11" s="13" t="inlineStr">
        <is>
          <t>持有/观察</t>
        </is>
      </c>
      <c r="W11" s="9" t="inlineStr">
        <is>
          <t>红利低波ETF</t>
        </is>
      </c>
      <c r="X11" s="16" t="n">
        <v>0.05</v>
      </c>
      <c r="Y11" s="17" t="n">
        <v>239150</v>
      </c>
      <c r="Z11" s="17" t="n">
        <v>42370</v>
      </c>
      <c r="AA11" s="17" t="n">
        <v>196780</v>
      </c>
      <c r="AB11" s="16" t="n">
        <v>0.1771691407066694</v>
      </c>
      <c r="AC11" s="9" t="inlineStr">
        <is>
          <t>配置中</t>
        </is>
      </c>
    </row>
    <row r="12">
      <c r="A12" s="15" t="inlineStr">
        <is>
          <t>511180</t>
        </is>
      </c>
      <c r="B12" s="9" t="inlineStr">
        <is>
          <t>可转债ETF</t>
        </is>
      </c>
      <c r="C12" s="13" t="n">
        <v>3000</v>
      </c>
      <c r="D12" s="13" t="n">
        <v>3000</v>
      </c>
      <c r="E12" s="13" t="n">
        <v>12.825</v>
      </c>
      <c r="F12" s="28" t="n">
        <v>12.833</v>
      </c>
      <c r="G12" s="13" t="inlineStr">
        <is>
          <t>券商截图</t>
        </is>
      </c>
      <c r="H12" s="13" t="n">
        <v>38499</v>
      </c>
      <c r="I12" s="13" t="n">
        <v>24</v>
      </c>
      <c r="J12" s="13" t="n">
        <v>0.0005999999999999999</v>
      </c>
      <c r="K12" s="13" t="n">
        <v>-189</v>
      </c>
      <c r="L12" s="13" t="n">
        <v>-0.0049</v>
      </c>
      <c r="M12" s="13" t="n">
        <v>12.825</v>
      </c>
      <c r="N12" s="13" t="n">
        <v>0.0369</v>
      </c>
      <c r="O12" s="16" t="n">
        <v>0.008</v>
      </c>
      <c r="P12" s="13" t="n">
        <v>12.833</v>
      </c>
      <c r="Q12" s="13" t="n">
        <v>38499</v>
      </c>
      <c r="R12" s="13" t="n">
        <v>0.0369</v>
      </c>
      <c r="S12" s="13" t="inlineStr">
        <is>
          <t>弹性低波层</t>
        </is>
      </c>
      <c r="T12" s="13" t="n">
        <v>0.04</v>
      </c>
      <c r="U12" s="16" t="n">
        <v>-0.0031</v>
      </c>
      <c r="V12" s="13" t="inlineStr">
        <is>
          <t>持有/观察</t>
        </is>
      </c>
      <c r="W12" s="9" t="inlineStr">
        <is>
          <t>可转债ETF</t>
        </is>
      </c>
      <c r="X12" s="16" t="n">
        <v>0.1</v>
      </c>
      <c r="Y12" s="17" t="n">
        <v>478300</v>
      </c>
      <c r="Z12" s="17" t="n">
        <v>38499</v>
      </c>
      <c r="AA12" s="17" t="n">
        <v>439801</v>
      </c>
      <c r="AB12" s="16" t="n">
        <v>0.08049132343717333</v>
      </c>
      <c r="AC12" s="9" t="inlineStr">
        <is>
          <t>配置中</t>
        </is>
      </c>
    </row>
    <row r="13">
      <c r="A13" s="15" t="inlineStr">
        <is>
          <t>510210</t>
        </is>
      </c>
      <c r="B13" s="9" t="inlineStr">
        <is>
          <t>上证ETF</t>
        </is>
      </c>
      <c r="C13" s="13" t="n">
        <v>35000</v>
      </c>
      <c r="D13" s="13" t="n">
        <v>35000</v>
      </c>
      <c r="E13" s="13" t="n">
        <v>0.903</v>
      </c>
      <c r="F13" s="28" t="n">
        <v>1.028</v>
      </c>
      <c r="G13" s="13" t="inlineStr">
        <is>
          <t>券商截图</t>
        </is>
      </c>
      <c r="H13" s="13" t="n">
        <v>35980</v>
      </c>
      <c r="I13" s="13" t="n">
        <v>4374.49</v>
      </c>
      <c r="J13" s="13" t="n">
        <v>0.1384</v>
      </c>
      <c r="K13" s="13" t="n">
        <v>-175</v>
      </c>
      <c r="L13" s="13" t="n">
        <v>-0.0048</v>
      </c>
      <c r="M13" s="13" t="n">
        <v>0.983</v>
      </c>
      <c r="N13" s="13" t="n">
        <v>0.0344</v>
      </c>
      <c r="O13" s="16" t="n">
        <v>0.0075</v>
      </c>
      <c r="P13" s="13" t="n">
        <v>1.028</v>
      </c>
      <c r="Q13" s="13" t="n">
        <v>35980</v>
      </c>
      <c r="R13" s="13" t="n">
        <v>0.0344</v>
      </c>
      <c r="S13" s="13" t="inlineStr">
        <is>
          <t>遗留仓</t>
        </is>
      </c>
      <c r="T13" s="13" t="n">
        <v>0.04</v>
      </c>
      <c r="U13" s="16" t="n">
        <v>-0.0056</v>
      </c>
      <c r="V13" s="13" t="inlineStr">
        <is>
          <t>持有/观察</t>
        </is>
      </c>
      <c r="W13" s="9" t="inlineStr">
        <is>
          <t>中证A500ETF</t>
        </is>
      </c>
      <c r="X13" s="16" t="n">
        <v>0.08</v>
      </c>
      <c r="Y13" s="17" t="n">
        <v>382640</v>
      </c>
      <c r="Z13" s="17" t="n">
        <v>109274.2</v>
      </c>
      <c r="AA13" s="17" t="n">
        <v>273365.8</v>
      </c>
      <c r="AB13" s="16" t="n">
        <v>0.285579657118963</v>
      </c>
      <c r="AC13" s="9" t="inlineStr">
        <is>
          <t>配置中</t>
        </is>
      </c>
    </row>
    <row r="14">
      <c r="A14" s="15" t="inlineStr">
        <is>
          <t>159381</t>
        </is>
      </c>
      <c r="B14" s="9" t="inlineStr">
        <is>
          <t>创业板人工智能ETF</t>
        </is>
      </c>
      <c r="C14" s="13" t="n">
        <v>15000</v>
      </c>
      <c r="D14" s="13" t="n">
        <v>15000</v>
      </c>
      <c r="E14" s="13" t="n">
        <v>1.387</v>
      </c>
      <c r="F14" s="28" t="n">
        <v>1.445</v>
      </c>
      <c r="G14" s="13" t="inlineStr">
        <is>
          <t>券商截图</t>
        </is>
      </c>
      <c r="H14" s="13" t="n">
        <v>21675</v>
      </c>
      <c r="I14" s="13" t="n">
        <v>872.92</v>
      </c>
      <c r="J14" s="13" t="n">
        <v>0.042</v>
      </c>
      <c r="K14" s="13" t="n">
        <v>570</v>
      </c>
      <c r="L14" s="13" t="n">
        <v>0.027</v>
      </c>
      <c r="M14" s="13" t="n">
        <v>1.387</v>
      </c>
      <c r="N14" s="13" t="n">
        <v>0.0207</v>
      </c>
      <c r="O14" s="16" t="n">
        <v>0.0045</v>
      </c>
      <c r="P14" s="13" t="n">
        <v>1.445</v>
      </c>
      <c r="Q14" s="13" t="n">
        <v>21675</v>
      </c>
      <c r="R14" s="13" t="n">
        <v>0.0207</v>
      </c>
      <c r="S14" s="13" t="inlineStr">
        <is>
          <t>观察仓</t>
        </is>
      </c>
      <c r="T14" s="13" t="n">
        <v>0.02</v>
      </c>
      <c r="U14" s="16" t="n">
        <v>0.0007</v>
      </c>
      <c r="V14" s="13" t="inlineStr">
        <is>
          <t>持有/观察</t>
        </is>
      </c>
      <c r="W14" s="9" t="inlineStr">
        <is>
          <t>创业板人工智能ETF 159381</t>
        </is>
      </c>
      <c r="X14" s="16" t="n">
        <v>0.06</v>
      </c>
      <c r="Y14" s="17" t="n">
        <v>286980</v>
      </c>
      <c r="Z14" s="17" t="n">
        <v>21675</v>
      </c>
      <c r="AA14" s="17" t="n">
        <v>265305</v>
      </c>
      <c r="AB14" s="16" t="n">
        <v>0.07552791135270751</v>
      </c>
      <c r="AC14" s="9" t="inlineStr">
        <is>
          <t>配置中</t>
        </is>
      </c>
    </row>
  </sheetData>
  <autoFilter ref="A1:AC1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1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8" customWidth="1" min="23" max="23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Shares</t>
        </is>
      </c>
      <c r="D1" s="12" t="inlineStr">
        <is>
          <t>Available Shares</t>
        </is>
      </c>
      <c r="E1" s="12" t="inlineStr">
        <is>
          <t>Latest</t>
        </is>
      </c>
      <c r="F1" s="12" t="inlineStr">
        <is>
          <t>Cost</t>
        </is>
      </c>
      <c r="G1" s="12" t="inlineStr">
        <is>
          <t>Market Value</t>
        </is>
      </c>
      <c r="H1" s="12" t="inlineStr">
        <is>
          <t>P/L</t>
        </is>
      </c>
      <c r="I1" s="12" t="inlineStr">
        <is>
          <t>P/L%</t>
        </is>
      </c>
      <c r="J1" s="12" t="inlineStr">
        <is>
          <t>Today P/L</t>
        </is>
      </c>
      <c r="K1" s="12" t="inlineStr">
        <is>
          <t>Today P/L%</t>
        </is>
      </c>
      <c r="L1" s="12" t="inlineStr">
        <is>
          <t>Buy Avg</t>
        </is>
      </c>
      <c r="M1" s="12" t="inlineStr">
        <is>
          <t>Weight</t>
        </is>
      </c>
      <c r="N1" s="12" t="inlineStr">
        <is>
          <t>Role</t>
        </is>
      </c>
      <c r="O1" s="12" t="inlineStr">
        <is>
          <t>Target Weight</t>
        </is>
      </c>
      <c r="P1" s="12" t="inlineStr">
        <is>
          <t>V2.8.5 Action</t>
        </is>
      </c>
      <c r="Q1" s="12" t="inlineStr">
        <is>
          <t>年度配置项</t>
        </is>
      </c>
      <c r="R1" s="12" t="inlineStr">
        <is>
          <t>年度全资产目标</t>
        </is>
      </c>
      <c r="S1" s="12" t="inlineStr">
        <is>
          <t>年度目标金额</t>
        </is>
      </c>
      <c r="T1" s="12" t="inlineStr">
        <is>
          <t>年度组内当前金额</t>
        </is>
      </c>
      <c r="U1" s="12" t="inlineStr">
        <is>
          <t>年度资金缺口</t>
        </is>
      </c>
      <c r="V1" s="12" t="inlineStr">
        <is>
          <t>年度完成率</t>
        </is>
      </c>
      <c r="W1" s="12" t="inlineStr">
        <is>
          <t>年度配置状态</t>
        </is>
      </c>
    </row>
    <row r="2">
      <c r="A2" s="15" t="inlineStr">
        <is>
          <t>562500</t>
        </is>
      </c>
      <c r="B2" s="9" t="inlineStr">
        <is>
          <t>机器人ETF</t>
        </is>
      </c>
      <c r="C2" s="13" t="n">
        <v>119400</v>
      </c>
      <c r="D2" s="13" t="n">
        <v>119400</v>
      </c>
      <c r="E2" s="28" t="n">
        <v>1.168</v>
      </c>
      <c r="F2" s="13" t="n">
        <v>1.05</v>
      </c>
      <c r="G2" s="13" t="n">
        <v>139459.2</v>
      </c>
      <c r="H2" s="13" t="n">
        <v>14067.07</v>
      </c>
      <c r="I2" s="13" t="n">
        <v>0.1122</v>
      </c>
      <c r="J2" s="13" t="n">
        <v>2865.6</v>
      </c>
      <c r="K2" s="13" t="n">
        <v>0.021</v>
      </c>
      <c r="L2" s="13" t="n">
        <v>1.063</v>
      </c>
      <c r="M2" s="13" t="n">
        <v>0.1335</v>
      </c>
      <c r="N2" s="13" t="inlineStr">
        <is>
          <t>核心成长层</t>
        </is>
      </c>
      <c r="O2" s="13" t="n">
        <v>0.14</v>
      </c>
      <c r="P2" s="13" t="inlineStr">
        <is>
          <t>持有/观察</t>
        </is>
      </c>
      <c r="Q2" s="9" t="inlineStr">
        <is>
          <t>机器人ETF 562500</t>
        </is>
      </c>
      <c r="R2" s="16" t="n">
        <v>0.08</v>
      </c>
      <c r="S2" s="17" t="n">
        <v>382640</v>
      </c>
      <c r="T2" s="17" t="n">
        <v>139459.2</v>
      </c>
      <c r="U2" s="17" t="n">
        <v>243180.8</v>
      </c>
      <c r="V2" s="16" t="n">
        <v>0.364465816433201</v>
      </c>
      <c r="W2" s="9" t="inlineStr">
        <is>
          <t>配置中</t>
        </is>
      </c>
    </row>
    <row r="3">
      <c r="A3" s="15" t="inlineStr">
        <is>
          <t>002594</t>
        </is>
      </c>
      <c r="B3" s="9" t="inlineStr">
        <is>
          <t>比亚迪</t>
        </is>
      </c>
      <c r="C3" s="13" t="n">
        <v>1100</v>
      </c>
      <c r="D3" s="13" t="n">
        <v>1100</v>
      </c>
      <c r="E3" s="28" t="n">
        <v>88.64</v>
      </c>
      <c r="F3" s="13" t="n">
        <v>119.397</v>
      </c>
      <c r="G3" s="13" t="n">
        <v>97504</v>
      </c>
      <c r="H3" s="13" t="n">
        <v>-33833.18</v>
      </c>
      <c r="I3" s="13" t="n">
        <v>-0.2576</v>
      </c>
      <c r="J3" s="13" t="n">
        <v>1287</v>
      </c>
      <c r="K3" s="13" t="n">
        <v>0.0134</v>
      </c>
      <c r="L3" s="13" t="n">
        <v>118.517</v>
      </c>
      <c r="M3" s="13" t="n">
        <v>0.09329999999999999</v>
      </c>
      <c r="N3" s="13" t="inlineStr">
        <is>
          <t>遗留仓</t>
        </is>
      </c>
      <c r="O3" s="13" t="n">
        <v>0.05</v>
      </c>
      <c r="P3" s="13" t="inlineStr">
        <is>
          <t>持有/观察</t>
        </is>
      </c>
      <c r="Q3" s="9" t="inlineStr">
        <is>
          <t>比亚迪+绿电+储能</t>
        </is>
      </c>
      <c r="R3" s="16" t="n">
        <v>0.03</v>
      </c>
      <c r="S3" s="17" t="n">
        <v>143490</v>
      </c>
      <c r="T3" s="17" t="n">
        <v>191942.4</v>
      </c>
      <c r="U3" s="17" t="n">
        <v>-48452.39999999999</v>
      </c>
      <c r="V3" s="16" t="n">
        <v>1.337670917833995</v>
      </c>
      <c r="W3" s="9" t="inlineStr">
        <is>
          <t>达到或超过年度目标</t>
        </is>
      </c>
    </row>
    <row r="4">
      <c r="A4" s="15" t="inlineStr">
        <is>
          <t>159338</t>
        </is>
      </c>
      <c r="B4" s="9" t="inlineStr">
        <is>
          <t>中证A500ETF</t>
        </is>
      </c>
      <c r="C4" s="13" t="n">
        <v>55400</v>
      </c>
      <c r="D4" s="13" t="n">
        <v>55400</v>
      </c>
      <c r="E4" s="28" t="n">
        <v>1.323</v>
      </c>
      <c r="F4" s="13" t="n">
        <v>1.29</v>
      </c>
      <c r="G4" s="13" t="n">
        <v>73294.2</v>
      </c>
      <c r="H4" s="13" t="n">
        <v>1847.05</v>
      </c>
      <c r="I4" s="13" t="n">
        <v>0.0258</v>
      </c>
      <c r="J4" s="13" t="n">
        <v>498.6</v>
      </c>
      <c r="K4" s="13" t="n">
        <v>0.0068</v>
      </c>
      <c r="L4" s="13" t="n">
        <v>1.29</v>
      </c>
      <c r="M4" s="13" t="n">
        <v>0.0702</v>
      </c>
      <c r="N4" s="13" t="inlineStr">
        <is>
          <t>低波权益层</t>
        </is>
      </c>
      <c r="O4" s="13" t="n">
        <v>0.06</v>
      </c>
      <c r="P4" s="13" t="inlineStr">
        <is>
          <t>持有/观察</t>
        </is>
      </c>
      <c r="Q4" s="9" t="inlineStr">
        <is>
          <t>中证A500ETF</t>
        </is>
      </c>
      <c r="R4" s="16" t="n">
        <v>0.08</v>
      </c>
      <c r="S4" s="17" t="n">
        <v>382640</v>
      </c>
      <c r="T4" s="17" t="n">
        <v>109274.2</v>
      </c>
      <c r="U4" s="17" t="n">
        <v>273365.8</v>
      </c>
      <c r="V4" s="16" t="n">
        <v>0.285579657118963</v>
      </c>
      <c r="W4" s="9" t="inlineStr">
        <is>
          <t>配置中</t>
        </is>
      </c>
    </row>
    <row r="5">
      <c r="A5" s="15" t="inlineStr">
        <is>
          <t>516630</t>
        </is>
      </c>
      <c r="B5" s="9" t="inlineStr">
        <is>
          <t>云计算ETF</t>
        </is>
      </c>
      <c r="C5" s="13" t="n">
        <v>37000</v>
      </c>
      <c r="D5" s="13" t="n">
        <v>37000</v>
      </c>
      <c r="E5" s="28" t="n">
        <v>1.712</v>
      </c>
      <c r="F5" s="13" t="n">
        <v>1.804</v>
      </c>
      <c r="G5" s="13" t="n">
        <v>63344</v>
      </c>
      <c r="H5" s="13" t="n">
        <v>-3415.68</v>
      </c>
      <c r="I5" s="13" t="n">
        <v>-0.0512</v>
      </c>
      <c r="J5" s="13" t="n">
        <v>1480</v>
      </c>
      <c r="K5" s="13" t="n">
        <v>0.0239</v>
      </c>
      <c r="L5" s="13" t="n">
        <v>1.804</v>
      </c>
      <c r="M5" s="13" t="n">
        <v>0.0606</v>
      </c>
      <c r="N5" s="13" t="inlineStr">
        <is>
          <t>战术仓</t>
        </is>
      </c>
      <c r="O5" s="13" t="n">
        <v>0.03</v>
      </c>
      <c r="P5" s="13" t="inlineStr">
        <is>
          <t>持有/观察</t>
        </is>
      </c>
      <c r="Q5" s="9" t="inlineStr">
        <is>
          <t>云计算ETF</t>
        </is>
      </c>
      <c r="R5" s="16" t="n">
        <v>0.03</v>
      </c>
      <c r="S5" s="17" t="n">
        <v>143490</v>
      </c>
      <c r="T5" s="17" t="n">
        <v>63344</v>
      </c>
      <c r="U5" s="17" t="n">
        <v>80146</v>
      </c>
      <c r="V5" s="16" t="n">
        <v>0.4414523660185379</v>
      </c>
      <c r="W5" s="9" t="inlineStr">
        <is>
          <t>配置中</t>
        </is>
      </c>
    </row>
    <row r="6">
      <c r="A6" s="15" t="inlineStr">
        <is>
          <t>159516</t>
        </is>
      </c>
      <c r="B6" s="9" t="inlineStr">
        <is>
          <t>半导体设备ETF</t>
        </is>
      </c>
      <c r="C6" s="13" t="n">
        <v>40000</v>
      </c>
      <c r="D6" s="13" t="n">
        <v>20000</v>
      </c>
      <c r="E6" s="28" t="n">
        <v>1.516</v>
      </c>
      <c r="F6" s="13" t="n">
        <v>1.44</v>
      </c>
      <c r="G6" s="13" t="n">
        <v>60640</v>
      </c>
      <c r="H6" s="13" t="n">
        <v>3034.24</v>
      </c>
      <c r="I6" s="13" t="n">
        <v>0.0527</v>
      </c>
      <c r="J6" s="13" t="n">
        <v>496.98</v>
      </c>
      <c r="K6" s="13" t="n">
        <v>0.0083</v>
      </c>
      <c r="L6" s="13" t="n">
        <v>1.44</v>
      </c>
      <c r="M6" s="13" t="n">
        <v>0.058</v>
      </c>
      <c r="N6" s="13" t="inlineStr">
        <is>
          <t>核心成长层</t>
        </is>
      </c>
      <c r="O6" s="13" t="n">
        <v>0.05</v>
      </c>
      <c r="P6" s="13" t="inlineStr">
        <is>
          <t>持有/观察</t>
        </is>
      </c>
      <c r="Q6" s="9" t="inlineStr">
        <is>
          <t>半导体设备ETF 159516</t>
        </is>
      </c>
      <c r="R6" s="16" t="n">
        <v>0.08</v>
      </c>
      <c r="S6" s="17" t="n">
        <v>382640</v>
      </c>
      <c r="T6" s="17" t="n">
        <v>60640</v>
      </c>
      <c r="U6" s="17" t="n">
        <v>322000</v>
      </c>
      <c r="V6" s="16" t="n">
        <v>0.158477942713778</v>
      </c>
      <c r="W6" s="9" t="inlineStr">
        <is>
          <t>配置中</t>
        </is>
      </c>
    </row>
    <row r="7">
      <c r="A7" s="15" t="inlineStr">
        <is>
          <t>511010</t>
        </is>
      </c>
      <c r="B7" s="9" t="inlineStr">
        <is>
          <t>国债ETF</t>
        </is>
      </c>
      <c r="C7" s="13" t="n">
        <v>400</v>
      </c>
      <c r="D7" s="13" t="n">
        <v>400</v>
      </c>
      <c r="E7" s="28" t="n">
        <v>141.388</v>
      </c>
      <c r="F7" s="13" t="n">
        <v>141.224</v>
      </c>
      <c r="G7" s="13" t="n">
        <v>56555.2</v>
      </c>
      <c r="H7" s="13" t="n">
        <v>65.7</v>
      </c>
      <c r="I7" s="13" t="n">
        <v>0.0012</v>
      </c>
      <c r="J7" s="13" t="n">
        <v>16</v>
      </c>
      <c r="K7" s="13" t="n">
        <v>0.0003</v>
      </c>
      <c r="L7" s="13" t="n">
        <v>141.224</v>
      </c>
      <c r="M7" s="13" t="n">
        <v>0.0541</v>
      </c>
      <c r="N7" s="13" t="inlineStr">
        <is>
          <t>纯防御层</t>
        </is>
      </c>
      <c r="O7" s="13" t="n">
        <v>0.04</v>
      </c>
      <c r="P7" s="13" t="inlineStr">
        <is>
          <t>保留</t>
        </is>
      </c>
      <c r="Q7" s="9" t="n"/>
      <c r="R7" s="16" t="n">
        <v/>
      </c>
      <c r="S7" s="17" t="n">
        <v/>
      </c>
      <c r="T7" s="17" t="n">
        <v/>
      </c>
      <c r="U7" s="17" t="n">
        <v/>
      </c>
      <c r="V7" s="16" t="n">
        <v/>
      </c>
      <c r="W7" s="9" t="n"/>
    </row>
    <row r="8">
      <c r="A8" s="15" t="inlineStr">
        <is>
          <t>688083</t>
        </is>
      </c>
      <c r="B8" s="9" t="inlineStr">
        <is>
          <t>中望软件</t>
        </is>
      </c>
      <c r="C8" s="13" t="n">
        <v>847</v>
      </c>
      <c r="D8" s="13" t="n">
        <v>847</v>
      </c>
      <c r="E8" s="28" t="n">
        <v>65.26000000000001</v>
      </c>
      <c r="F8" s="13" t="n">
        <v>126.046</v>
      </c>
      <c r="G8" s="13" t="n">
        <v>55275.22</v>
      </c>
      <c r="H8" s="13" t="n">
        <v>-51485.42</v>
      </c>
      <c r="I8" s="13" t="n">
        <v>-0.4823</v>
      </c>
      <c r="J8" s="13" t="n">
        <v>296.45</v>
      </c>
      <c r="K8" s="13" t="n">
        <v>0.0054</v>
      </c>
      <c r="L8" s="13" t="n">
        <v>76.407</v>
      </c>
      <c r="M8" s="13" t="n">
        <v>0.0529</v>
      </c>
      <c r="N8" s="13" t="inlineStr">
        <is>
          <t>遗留仓</t>
        </is>
      </c>
      <c r="O8" s="13" t="n">
        <v>0.02</v>
      </c>
      <c r="P8" s="13" t="inlineStr">
        <is>
          <t>持有/观察</t>
        </is>
      </c>
      <c r="Q8" s="9" t="n"/>
      <c r="R8" s="16" t="n">
        <v/>
      </c>
      <c r="S8" s="17" t="n">
        <v/>
      </c>
      <c r="T8" s="17" t="n">
        <v/>
      </c>
      <c r="U8" s="17" t="n">
        <v/>
      </c>
      <c r="V8" s="16" t="n">
        <v/>
      </c>
      <c r="W8" s="9" t="n"/>
    </row>
    <row r="9">
      <c r="A9" s="15" t="inlineStr">
        <is>
          <t>562550</t>
        </is>
      </c>
      <c r="B9" s="9" t="inlineStr">
        <is>
          <t>绿电ETF</t>
        </is>
      </c>
      <c r="C9" s="13" t="n">
        <v>40000</v>
      </c>
      <c r="D9" s="13" t="n">
        <v>40000</v>
      </c>
      <c r="E9" s="28" t="n">
        <v>1.19</v>
      </c>
      <c r="F9" s="13" t="n">
        <v>1.26</v>
      </c>
      <c r="G9" s="13" t="n">
        <v>47600</v>
      </c>
      <c r="H9" s="13" t="n">
        <v>-2814.49</v>
      </c>
      <c r="I9" s="13" t="n">
        <v>-0.0559</v>
      </c>
      <c r="J9" s="13" t="n">
        <v>-1560</v>
      </c>
      <c r="K9" s="13" t="n">
        <v>-0.0317</v>
      </c>
      <c r="L9" s="13" t="n">
        <v>1.258</v>
      </c>
      <c r="M9" s="13" t="n">
        <v>0.0456</v>
      </c>
      <c r="N9" s="13" t="inlineStr">
        <is>
          <t>遗留仓</t>
        </is>
      </c>
      <c r="O9" s="13" t="n">
        <v>0.03</v>
      </c>
      <c r="P9" s="13" t="inlineStr">
        <is>
          <t>持有/观察</t>
        </is>
      </c>
      <c r="Q9" s="9" t="inlineStr">
        <is>
          <t>比亚迪+绿电+储能</t>
        </is>
      </c>
      <c r="R9" s="16" t="n">
        <v>0.03</v>
      </c>
      <c r="S9" s="17" t="n">
        <v>143490</v>
      </c>
      <c r="T9" s="17" t="n">
        <v>191942.4</v>
      </c>
      <c r="U9" s="17" t="n">
        <v>-48452.39999999999</v>
      </c>
      <c r="V9" s="16" t="n">
        <v>1.337670917833995</v>
      </c>
      <c r="W9" s="9" t="inlineStr">
        <is>
          <t>达到或超过年度目标</t>
        </is>
      </c>
    </row>
    <row r="10">
      <c r="A10" s="15" t="inlineStr">
        <is>
          <t>159566</t>
        </is>
      </c>
      <c r="B10" s="9" t="inlineStr">
        <is>
          <t>储能电池ETF</t>
        </is>
      </c>
      <c r="C10" s="13" t="n">
        <v>20400</v>
      </c>
      <c r="D10" s="13" t="n">
        <v>20400</v>
      </c>
      <c r="E10" s="28" t="n">
        <v>2.296</v>
      </c>
      <c r="F10" s="13" t="n">
        <v>2.346</v>
      </c>
      <c r="G10" s="13" t="n">
        <v>46838.4</v>
      </c>
      <c r="H10" s="13" t="n">
        <v>-1011.99</v>
      </c>
      <c r="I10" s="13" t="n">
        <v>-0.0211</v>
      </c>
      <c r="J10" s="13" t="n">
        <v>0</v>
      </c>
      <c r="K10" s="13" t="n">
        <v>0</v>
      </c>
      <c r="L10" s="13" t="n">
        <v>2.346</v>
      </c>
      <c r="M10" s="13" t="n">
        <v>0.0448</v>
      </c>
      <c r="N10" s="13" t="inlineStr">
        <is>
          <t>遗留仓</t>
        </is>
      </c>
      <c r="O10" s="13" t="n">
        <v>0.02</v>
      </c>
      <c r="P10" s="13" t="inlineStr">
        <is>
          <t>持有/观察</t>
        </is>
      </c>
      <c r="Q10" s="9" t="inlineStr">
        <is>
          <t>比亚迪+绿电+储能</t>
        </is>
      </c>
      <c r="R10" s="16" t="n">
        <v>0.03</v>
      </c>
      <c r="S10" s="17" t="n">
        <v>143490</v>
      </c>
      <c r="T10" s="17" t="n">
        <v>191942.4</v>
      </c>
      <c r="U10" s="17" t="n">
        <v>-48452.39999999999</v>
      </c>
      <c r="V10" s="16" t="n">
        <v>1.337670917833995</v>
      </c>
      <c r="W10" s="9" t="inlineStr">
        <is>
          <t>达到或超过年度目标</t>
        </is>
      </c>
    </row>
    <row r="11">
      <c r="A11" s="15" t="inlineStr">
        <is>
          <t>512890</t>
        </is>
      </c>
      <c r="B11" s="9" t="inlineStr">
        <is>
          <t>红利低波ETF</t>
        </is>
      </c>
      <c r="C11" s="13" t="n">
        <v>38000</v>
      </c>
      <c r="D11" s="13" t="n">
        <v>38000</v>
      </c>
      <c r="E11" s="28" t="n">
        <v>1.115</v>
      </c>
      <c r="F11" s="13" t="n">
        <v>1.16</v>
      </c>
      <c r="G11" s="13" t="n">
        <v>42370</v>
      </c>
      <c r="H11" s="13" t="n">
        <v>-1704.41</v>
      </c>
      <c r="I11" s="13" t="n">
        <v>-0.0387</v>
      </c>
      <c r="J11" s="13" t="n">
        <v>-950</v>
      </c>
      <c r="K11" s="13" t="n">
        <v>-0.0219</v>
      </c>
      <c r="L11" s="13" t="n">
        <v>1.16</v>
      </c>
      <c r="M11" s="13" t="n">
        <v>0.0406</v>
      </c>
      <c r="N11" s="13" t="inlineStr">
        <is>
          <t>低波权益层</t>
        </is>
      </c>
      <c r="O11" s="13" t="n">
        <v>0.05</v>
      </c>
      <c r="P11" s="13" t="inlineStr">
        <is>
          <t>持有/观察</t>
        </is>
      </c>
      <c r="Q11" s="9" t="inlineStr">
        <is>
          <t>红利低波ETF</t>
        </is>
      </c>
      <c r="R11" s="16" t="n">
        <v>0.05</v>
      </c>
      <c r="S11" s="17" t="n">
        <v>239150</v>
      </c>
      <c r="T11" s="17" t="n">
        <v>42370</v>
      </c>
      <c r="U11" s="17" t="n">
        <v>196780</v>
      </c>
      <c r="V11" s="16" t="n">
        <v>0.1771691407066694</v>
      </c>
      <c r="W11" s="9" t="inlineStr">
        <is>
          <t>配置中</t>
        </is>
      </c>
    </row>
    <row r="12">
      <c r="A12" s="15" t="inlineStr">
        <is>
          <t>511180</t>
        </is>
      </c>
      <c r="B12" s="9" t="inlineStr">
        <is>
          <t>可转债ETF</t>
        </is>
      </c>
      <c r="C12" s="13" t="n">
        <v>3000</v>
      </c>
      <c r="D12" s="13" t="n">
        <v>3000</v>
      </c>
      <c r="E12" s="28" t="n">
        <v>12.833</v>
      </c>
      <c r="F12" s="13" t="n">
        <v>12.825</v>
      </c>
      <c r="G12" s="13" t="n">
        <v>38499</v>
      </c>
      <c r="H12" s="13" t="n">
        <v>24</v>
      </c>
      <c r="I12" s="13" t="n">
        <v>0.0005999999999999999</v>
      </c>
      <c r="J12" s="13" t="n">
        <v>-189</v>
      </c>
      <c r="K12" s="13" t="n">
        <v>-0.0049</v>
      </c>
      <c r="L12" s="13" t="n">
        <v>12.825</v>
      </c>
      <c r="M12" s="13" t="n">
        <v>0.0369</v>
      </c>
      <c r="N12" s="13" t="inlineStr">
        <is>
          <t>弹性低波层</t>
        </is>
      </c>
      <c r="O12" s="13" t="n">
        <v>0.04</v>
      </c>
      <c r="P12" s="13" t="inlineStr">
        <is>
          <t>持有/观察</t>
        </is>
      </c>
      <c r="Q12" s="9" t="inlineStr">
        <is>
          <t>可转债ETF</t>
        </is>
      </c>
      <c r="R12" s="16" t="n">
        <v>0.1</v>
      </c>
      <c r="S12" s="17" t="n">
        <v>478300</v>
      </c>
      <c r="T12" s="17" t="n">
        <v>38499</v>
      </c>
      <c r="U12" s="17" t="n">
        <v>439801</v>
      </c>
      <c r="V12" s="16" t="n">
        <v>0.08049132343717333</v>
      </c>
      <c r="W12" s="9" t="inlineStr">
        <is>
          <t>配置中</t>
        </is>
      </c>
    </row>
    <row r="13">
      <c r="A13" s="15" t="inlineStr">
        <is>
          <t>510210</t>
        </is>
      </c>
      <c r="B13" s="9" t="inlineStr">
        <is>
          <t>上证ETF</t>
        </is>
      </c>
      <c r="C13" s="13" t="n">
        <v>35000</v>
      </c>
      <c r="D13" s="13" t="n">
        <v>35000</v>
      </c>
      <c r="E13" s="28" t="n">
        <v>1.028</v>
      </c>
      <c r="F13" s="13" t="n">
        <v>0.903</v>
      </c>
      <c r="G13" s="13" t="n">
        <v>35980</v>
      </c>
      <c r="H13" s="13" t="n">
        <v>4374.49</v>
      </c>
      <c r="I13" s="13" t="n">
        <v>0.1384</v>
      </c>
      <c r="J13" s="13" t="n">
        <v>-175</v>
      </c>
      <c r="K13" s="13" t="n">
        <v>-0.0048</v>
      </c>
      <c r="L13" s="13" t="n">
        <v>0.983</v>
      </c>
      <c r="M13" s="13" t="n">
        <v>0.0344</v>
      </c>
      <c r="N13" s="13" t="inlineStr">
        <is>
          <t>遗留仓</t>
        </is>
      </c>
      <c r="O13" s="13" t="n">
        <v>0.04</v>
      </c>
      <c r="P13" s="13" t="inlineStr">
        <is>
          <t>持有/观察</t>
        </is>
      </c>
      <c r="Q13" s="9" t="inlineStr">
        <is>
          <t>中证A500ETF</t>
        </is>
      </c>
      <c r="R13" s="16" t="n">
        <v>0.08</v>
      </c>
      <c r="S13" s="17" t="n">
        <v>382640</v>
      </c>
      <c r="T13" s="17" t="n">
        <v>109274.2</v>
      </c>
      <c r="U13" s="17" t="n">
        <v>273365.8</v>
      </c>
      <c r="V13" s="16" t="n">
        <v>0.285579657118963</v>
      </c>
      <c r="W13" s="9" t="inlineStr">
        <is>
          <t>配置中</t>
        </is>
      </c>
    </row>
    <row r="14">
      <c r="A14" s="15" t="inlineStr">
        <is>
          <t>159381</t>
        </is>
      </c>
      <c r="B14" s="9" t="inlineStr">
        <is>
          <t>创业板人工智能ETF</t>
        </is>
      </c>
      <c r="C14" s="13" t="n">
        <v>15000</v>
      </c>
      <c r="D14" s="13" t="n">
        <v>15000</v>
      </c>
      <c r="E14" s="28" t="n">
        <v>1.445</v>
      </c>
      <c r="F14" s="13" t="n">
        <v>1.387</v>
      </c>
      <c r="G14" s="13" t="n">
        <v>21675</v>
      </c>
      <c r="H14" s="13" t="n">
        <v>872.92</v>
      </c>
      <c r="I14" s="13" t="n">
        <v>0.042</v>
      </c>
      <c r="J14" s="13" t="n">
        <v>570</v>
      </c>
      <c r="K14" s="13" t="n">
        <v>0.027</v>
      </c>
      <c r="L14" s="13" t="n">
        <v>1.387</v>
      </c>
      <c r="M14" s="13" t="n">
        <v>0.0207</v>
      </c>
      <c r="N14" s="13" t="inlineStr">
        <is>
          <t>观察仓</t>
        </is>
      </c>
      <c r="O14" s="13" t="n">
        <v>0.02</v>
      </c>
      <c r="P14" s="13" t="inlineStr">
        <is>
          <t>持有/观察</t>
        </is>
      </c>
      <c r="Q14" s="9" t="inlineStr">
        <is>
          <t>创业板人工智能ETF 159381</t>
        </is>
      </c>
      <c r="R14" s="16" t="n">
        <v>0.06</v>
      </c>
      <c r="S14" s="17" t="n">
        <v>286980</v>
      </c>
      <c r="T14" s="17" t="n">
        <v>21675</v>
      </c>
      <c r="U14" s="17" t="n">
        <v>265305</v>
      </c>
      <c r="V14" s="16" t="n">
        <v>0.07552791135270751</v>
      </c>
      <c r="W14" s="9" t="inlineStr">
        <is>
          <t>配置中</t>
        </is>
      </c>
    </row>
  </sheetData>
  <autoFilter ref="A1:W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26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8" customWidth="1" min="28" max="28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Role</t>
        </is>
      </c>
      <c r="D1" s="12" t="inlineStr">
        <is>
          <t>Theme</t>
        </is>
      </c>
      <c r="E1" s="12" t="inlineStr">
        <is>
          <t>Target Weight</t>
        </is>
      </c>
      <c r="F1" s="12" t="inlineStr">
        <is>
          <t>Current Weight</t>
        </is>
      </c>
      <c r="G1" s="12" t="inlineStr">
        <is>
          <t>Direction Light</t>
        </is>
      </c>
      <c r="H1" s="12" t="inlineStr">
        <is>
          <t>Feedback</t>
        </is>
      </c>
      <c r="I1" s="12" t="inlineStr">
        <is>
          <t>Buy Filter</t>
        </is>
      </c>
      <c r="J1" s="12" t="inlineStr">
        <is>
          <t>One-Vote Veto</t>
        </is>
      </c>
      <c r="K1" s="12" t="inlineStr">
        <is>
          <t>Action</t>
        </is>
      </c>
      <c r="L1" s="12" t="inlineStr">
        <is>
          <t>Notes</t>
        </is>
      </c>
      <c r="M1" s="12" t="inlineStr">
        <is>
          <t>Asset Type</t>
        </is>
      </c>
      <c r="N1" s="12" t="inlineStr">
        <is>
          <t>Manual Quality Score</t>
        </is>
      </c>
      <c r="O1" s="12" t="inlineStr">
        <is>
          <t>Quality Evidence</t>
        </is>
      </c>
      <c r="P1" s="12" t="inlineStr">
        <is>
          <t>Share/Chip Signal</t>
        </is>
      </c>
      <c r="Q1" s="12" t="inlineStr">
        <is>
          <t>Premium Signal</t>
        </is>
      </c>
      <c r="R1" s="12" t="inlineStr">
        <is>
          <t>Leader Signal</t>
        </is>
      </c>
      <c r="S1" s="12" t="inlineStr">
        <is>
          <t>Next-Day Signal</t>
        </is>
      </c>
      <c r="T1" s="12" t="inlineStr">
        <is>
          <t>Thesis</t>
        </is>
      </c>
      <c r="U1" s="12" t="inlineStr">
        <is>
          <t>Invalidation</t>
        </is>
      </c>
      <c r="V1" s="12" t="inlineStr">
        <is>
          <t>年度配置项</t>
        </is>
      </c>
      <c r="W1" s="12" t="inlineStr">
        <is>
          <t>年度全资产目标</t>
        </is>
      </c>
      <c r="X1" s="12" t="inlineStr">
        <is>
          <t>年度目标金额</t>
        </is>
      </c>
      <c r="Y1" s="12" t="inlineStr">
        <is>
          <t>年度组内当前金额</t>
        </is>
      </c>
      <c r="Z1" s="12" t="inlineStr">
        <is>
          <t>年度资金缺口</t>
        </is>
      </c>
      <c r="AA1" s="12" t="inlineStr">
        <is>
          <t>年度完成率</t>
        </is>
      </c>
      <c r="AB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观察仓</t>
        </is>
      </c>
      <c r="D2" s="13" t="inlineStr">
        <is>
          <t>宽基</t>
        </is>
      </c>
      <c r="E2" s="13" t="n">
        <v/>
      </c>
      <c r="F2" s="13" t="n">
        <v/>
      </c>
      <c r="G2" s="13" t="n">
        <v/>
      </c>
      <c r="H2" s="13" t="n">
        <v/>
      </c>
      <c r="I2" s="13" t="n">
        <v/>
      </c>
      <c r="J2" s="13" t="n">
        <v/>
      </c>
      <c r="K2" s="13" t="n">
        <v/>
      </c>
      <c r="L2" s="13" t="inlineStr">
        <is>
          <t>总量锚</t>
        </is>
      </c>
      <c r="M2" s="13" t="inlineStr">
        <is>
          <t>Index</t>
        </is>
      </c>
      <c r="N2" s="13" t="n">
        <v/>
      </c>
      <c r="O2" s="13" t="n">
        <v/>
      </c>
      <c r="P2" s="13" t="n">
        <v/>
      </c>
      <c r="Q2" s="13" t="n">
        <v/>
      </c>
      <c r="R2" s="13" t="n">
        <v/>
      </c>
      <c r="S2" s="13" t="n">
        <v/>
      </c>
      <c r="T2" s="13" t="n">
        <v/>
      </c>
      <c r="U2" s="13" t="n">
        <v/>
      </c>
      <c r="V2" s="9" t="n"/>
      <c r="W2" s="16" t="n">
        <v/>
      </c>
      <c r="X2" s="17" t="n">
        <v/>
      </c>
      <c r="Y2" s="17" t="n">
        <v/>
      </c>
      <c r="Z2" s="17" t="n">
        <v/>
      </c>
      <c r="AA2" s="16" t="n">
        <v/>
      </c>
      <c r="AB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观察仓</t>
        </is>
      </c>
      <c r="D3" s="13" t="inlineStr">
        <is>
          <t>宽基</t>
        </is>
      </c>
      <c r="E3" s="13" t="n">
        <v/>
      </c>
      <c r="F3" s="13" t="n">
        <v/>
      </c>
      <c r="G3" s="13" t="n">
        <v/>
      </c>
      <c r="H3" s="13" t="n">
        <v/>
      </c>
      <c r="I3" s="13" t="n">
        <v/>
      </c>
      <c r="J3" s="13" t="n">
        <v/>
      </c>
      <c r="K3" s="13" t="n">
        <v/>
      </c>
      <c r="L3" s="13" t="inlineStr">
        <is>
          <t>总量锚</t>
        </is>
      </c>
      <c r="M3" s="13" t="inlineStr">
        <is>
          <t>Index</t>
        </is>
      </c>
      <c r="N3" s="13" t="n">
        <v/>
      </c>
      <c r="O3" s="13" t="n">
        <v/>
      </c>
      <c r="P3" s="13" t="n">
        <v/>
      </c>
      <c r="Q3" s="13" t="n">
        <v/>
      </c>
      <c r="R3" s="13" t="n">
        <v/>
      </c>
      <c r="S3" s="13" t="n">
        <v/>
      </c>
      <c r="T3" s="13" t="n">
        <v/>
      </c>
      <c r="U3" s="13" t="n">
        <v/>
      </c>
      <c r="V3" s="9" t="n"/>
      <c r="W3" s="16" t="n">
        <v/>
      </c>
      <c r="X3" s="17" t="n">
        <v/>
      </c>
      <c r="Y3" s="17" t="n">
        <v/>
      </c>
      <c r="Z3" s="17" t="n">
        <v/>
      </c>
      <c r="AA3" s="16" t="n">
        <v/>
      </c>
      <c r="AB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观察仓</t>
        </is>
      </c>
      <c r="D4" s="13" t="inlineStr">
        <is>
          <t>宽基</t>
        </is>
      </c>
      <c r="E4" s="13" t="n">
        <v/>
      </c>
      <c r="F4" s="13" t="n">
        <v/>
      </c>
      <c r="G4" s="13" t="n">
        <v/>
      </c>
      <c r="H4" s="13" t="n">
        <v/>
      </c>
      <c r="I4" s="13" t="n">
        <v/>
      </c>
      <c r="J4" s="13" t="n">
        <v/>
      </c>
      <c r="K4" s="13" t="n">
        <v/>
      </c>
      <c r="L4" s="13" t="inlineStr">
        <is>
          <t>总量锚</t>
        </is>
      </c>
      <c r="M4" s="13" t="inlineStr">
        <is>
          <t>Index</t>
        </is>
      </c>
      <c r="N4" s="13" t="n">
        <v/>
      </c>
      <c r="O4" s="13" t="n">
        <v/>
      </c>
      <c r="P4" s="13" t="n">
        <v/>
      </c>
      <c r="Q4" s="13" t="n">
        <v/>
      </c>
      <c r="R4" s="13" t="n">
        <v/>
      </c>
      <c r="S4" s="13" t="n">
        <v/>
      </c>
      <c r="T4" s="13" t="n">
        <v/>
      </c>
      <c r="U4" s="13" t="n">
        <v/>
      </c>
      <c r="V4" s="9" t="n"/>
      <c r="W4" s="16" t="n">
        <v/>
      </c>
      <c r="X4" s="17" t="n">
        <v/>
      </c>
      <c r="Y4" s="17" t="n">
        <v/>
      </c>
      <c r="Z4" s="17" t="n">
        <v/>
      </c>
      <c r="AA4" s="16" t="n">
        <v/>
      </c>
      <c r="AB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观察仓</t>
        </is>
      </c>
      <c r="D5" s="13" t="inlineStr">
        <is>
          <t>半导体设备</t>
        </is>
      </c>
      <c r="E5" s="13" t="n">
        <v/>
      </c>
      <c r="F5" s="13" t="n">
        <v/>
      </c>
      <c r="G5" s="13" t="n">
        <v/>
      </c>
      <c r="H5" s="13" t="n">
        <v/>
      </c>
      <c r="I5" s="13" t="n">
        <v/>
      </c>
      <c r="J5" s="13" t="n">
        <v/>
      </c>
      <c r="K5" s="13" t="n">
        <v/>
      </c>
      <c r="L5" s="13" t="inlineStr">
        <is>
          <t>成长锚</t>
        </is>
      </c>
      <c r="M5" s="13" t="inlineStr">
        <is>
          <t>Index</t>
        </is>
      </c>
      <c r="N5" s="13" t="n">
        <v/>
      </c>
      <c r="O5" s="13" t="n">
        <v/>
      </c>
      <c r="P5" s="13" t="n">
        <v/>
      </c>
      <c r="Q5" s="13" t="n">
        <v/>
      </c>
      <c r="R5" s="13" t="n">
        <v/>
      </c>
      <c r="S5" s="13" t="n">
        <v/>
      </c>
      <c r="T5" s="13" t="n">
        <v/>
      </c>
      <c r="U5" s="13" t="n">
        <v/>
      </c>
      <c r="V5" s="9" t="n"/>
      <c r="W5" s="16" t="n">
        <v/>
      </c>
      <c r="X5" s="17" t="n">
        <v/>
      </c>
      <c r="Y5" s="17" t="n">
        <v/>
      </c>
      <c r="Z5" s="17" t="n">
        <v/>
      </c>
      <c r="AA5" s="16" t="n">
        <v/>
      </c>
      <c r="AB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观察仓</t>
        </is>
      </c>
      <c r="D6" s="13" t="inlineStr">
        <is>
          <t>AI算力</t>
        </is>
      </c>
      <c r="E6" s="13" t="n">
        <v/>
      </c>
      <c r="F6" s="13" t="n">
        <v/>
      </c>
      <c r="G6" s="13" t="n">
        <v/>
      </c>
      <c r="H6" s="13" t="n">
        <v/>
      </c>
      <c r="I6" s="13" t="n">
        <v/>
      </c>
      <c r="J6" s="13" t="n">
        <v/>
      </c>
      <c r="K6" s="13" t="n">
        <v/>
      </c>
      <c r="L6" s="13" t="inlineStr">
        <is>
          <t>成长锚</t>
        </is>
      </c>
      <c r="M6" s="13" t="inlineStr">
        <is>
          <t>Index</t>
        </is>
      </c>
      <c r="N6" s="13" t="n">
        <v/>
      </c>
      <c r="O6" s="13" t="n">
        <v/>
      </c>
      <c r="P6" s="13" t="n">
        <v/>
      </c>
      <c r="Q6" s="13" t="n">
        <v/>
      </c>
      <c r="R6" s="13" t="n">
        <v/>
      </c>
      <c r="S6" s="13" t="n">
        <v/>
      </c>
      <c r="T6" s="13" t="n">
        <v/>
      </c>
      <c r="U6" s="13" t="n">
        <v/>
      </c>
      <c r="V6" s="9" t="n"/>
      <c r="W6" s="16" t="n">
        <v/>
      </c>
      <c r="X6" s="17" t="n">
        <v/>
      </c>
      <c r="Y6" s="17" t="n">
        <v/>
      </c>
      <c r="Z6" s="17" t="n">
        <v/>
      </c>
      <c r="AA6" s="16" t="n">
        <v/>
      </c>
      <c r="AB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核心成长层</t>
        </is>
      </c>
      <c r="D7" s="13" t="inlineStr">
        <is>
          <t>半导体设备</t>
        </is>
      </c>
      <c r="E7" s="13" t="n">
        <v>0.05</v>
      </c>
      <c r="F7" s="13" t="n">
        <v>0.058</v>
      </c>
      <c r="G7" s="13" t="n">
        <v/>
      </c>
      <c r="H7" s="13" t="n">
        <v/>
      </c>
      <c r="I7" s="13" t="n">
        <v/>
      </c>
      <c r="J7" s="13" t="n">
        <v/>
      </c>
      <c r="K7" s="13" t="n">
        <v/>
      </c>
      <c r="L7" s="13" t="inlineStr">
        <is>
          <t>第一核心候选</t>
        </is>
      </c>
      <c r="M7" s="13" t="inlineStr">
        <is>
          <t>ETF</t>
        </is>
      </c>
      <c r="N7" s="13" t="n">
        <v/>
      </c>
      <c r="O7" s="13" t="n">
        <v/>
      </c>
      <c r="P7" s="13" t="n">
        <v/>
      </c>
      <c r="Q7" s="13" t="n">
        <v/>
      </c>
      <c r="R7" s="13" t="n">
        <v/>
      </c>
      <c r="S7" s="13" t="n">
        <v/>
      </c>
      <c r="T7" s="13" t="n">
        <v/>
      </c>
      <c r="U7" s="13" t="n">
        <v/>
      </c>
      <c r="V7" s="9" t="inlineStr">
        <is>
          <t>半导体设备ETF 159516</t>
        </is>
      </c>
      <c r="W7" s="16" t="n">
        <v>0.08</v>
      </c>
      <c r="X7" s="17" t="n">
        <v>382640</v>
      </c>
      <c r="Y7" s="17" t="n">
        <v>60640</v>
      </c>
      <c r="Z7" s="17" t="n">
        <v>322000</v>
      </c>
      <c r="AA7" s="16" t="n">
        <v>0.158477942713778</v>
      </c>
      <c r="AB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核心成长层</t>
        </is>
      </c>
      <c r="D8" s="13" t="inlineStr">
        <is>
          <t>机器人</t>
        </is>
      </c>
      <c r="E8" s="13" t="n">
        <v>0.14</v>
      </c>
      <c r="F8" s="13" t="n">
        <v>0.1335</v>
      </c>
      <c r="G8" s="13" t="n">
        <v/>
      </c>
      <c r="H8" s="13" t="n">
        <v/>
      </c>
      <c r="I8" s="13" t="n">
        <v/>
      </c>
      <c r="J8" s="13" t="n">
        <v/>
      </c>
      <c r="K8" s="13" t="n">
        <v/>
      </c>
      <c r="L8" s="13" t="inlineStr">
        <is>
          <t>持有不加</t>
        </is>
      </c>
      <c r="M8" s="13" t="inlineStr">
        <is>
          <t>ETF</t>
        </is>
      </c>
      <c r="N8" s="13" t="n">
        <v/>
      </c>
      <c r="O8" s="13" t="n">
        <v/>
      </c>
      <c r="P8" s="13" t="n">
        <v/>
      </c>
      <c r="Q8" s="13" t="n">
        <v/>
      </c>
      <c r="R8" s="13" t="n">
        <v/>
      </c>
      <c r="S8" s="13" t="n">
        <v/>
      </c>
      <c r="T8" s="13" t="n">
        <v/>
      </c>
      <c r="U8" s="13" t="n">
        <v/>
      </c>
      <c r="V8" s="9" t="inlineStr">
        <is>
          <t>机器人ETF 562500</t>
        </is>
      </c>
      <c r="W8" s="16" t="n">
        <v>0.08</v>
      </c>
      <c r="X8" s="17" t="n">
        <v>382640</v>
      </c>
      <c r="Y8" s="17" t="n">
        <v>139459.2</v>
      </c>
      <c r="Z8" s="17" t="n">
        <v>243180.8</v>
      </c>
      <c r="AA8" s="16" t="n">
        <v>0.364465816433201</v>
      </c>
      <c r="AB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观察仓</t>
        </is>
      </c>
      <c r="D9" s="13" t="inlineStr">
        <is>
          <t>AI算力</t>
        </is>
      </c>
      <c r="E9" s="13" t="n">
        <v>0.02</v>
      </c>
      <c r="F9" s="13" t="n">
        <v>0.0207</v>
      </c>
      <c r="G9" s="13" t="n">
        <v/>
      </c>
      <c r="H9" s="13" t="n">
        <v/>
      </c>
      <c r="I9" s="13" t="n">
        <v/>
      </c>
      <c r="J9" s="13" t="n">
        <v/>
      </c>
      <c r="K9" s="13" t="n">
        <v/>
      </c>
      <c r="L9" s="13" t="inlineStr">
        <is>
          <t>AI观察仓</t>
        </is>
      </c>
      <c r="M9" s="13" t="inlineStr">
        <is>
          <t>ETF</t>
        </is>
      </c>
      <c r="N9" s="13" t="n">
        <v/>
      </c>
      <c r="O9" s="13" t="n">
        <v/>
      </c>
      <c r="P9" s="13" t="n">
        <v/>
      </c>
      <c r="Q9" s="13" t="n">
        <v/>
      </c>
      <c r="R9" s="13" t="n">
        <v/>
      </c>
      <c r="S9" s="13" t="n">
        <v/>
      </c>
      <c r="T9" s="13" t="n">
        <v/>
      </c>
      <c r="U9" s="13" t="n">
        <v/>
      </c>
      <c r="V9" s="9" t="inlineStr">
        <is>
          <t>创业板人工智能ETF 159381</t>
        </is>
      </c>
      <c r="W9" s="16" t="n">
        <v>0.06</v>
      </c>
      <c r="X9" s="17" t="n">
        <v>286980</v>
      </c>
      <c r="Y9" s="17" t="n">
        <v>21675</v>
      </c>
      <c r="Z9" s="17" t="n">
        <v>265305</v>
      </c>
      <c r="AA9" s="16" t="n">
        <v>0.07552791135270751</v>
      </c>
      <c r="AB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观察仓</t>
        </is>
      </c>
      <c r="D10" s="13" t="inlineStr">
        <is>
          <t>AI算力</t>
        </is>
      </c>
      <c r="E10" s="13" t="n">
        <v>0.005</v>
      </c>
      <c r="F10" s="13" t="n">
        <v>0</v>
      </c>
      <c r="G10" s="13" t="n">
        <v/>
      </c>
      <c r="H10" s="13" t="n">
        <v/>
      </c>
      <c r="I10" s="13" t="n">
        <v/>
      </c>
      <c r="J10" s="13" t="n">
        <v/>
      </c>
      <c r="K10" s="13" t="n">
        <v/>
      </c>
      <c r="L10" s="13" t="inlineStr">
        <is>
          <t>AI小观察仓</t>
        </is>
      </c>
      <c r="M10" s="13" t="inlineStr">
        <is>
          <t>ETF</t>
        </is>
      </c>
      <c r="N10" s="13" t="n">
        <v/>
      </c>
      <c r="O10" s="13" t="n">
        <v/>
      </c>
      <c r="P10" s="13" t="n">
        <v/>
      </c>
      <c r="Q10" s="13" t="n">
        <v/>
      </c>
      <c r="R10" s="13" t="n">
        <v/>
      </c>
      <c r="S10" s="13" t="n">
        <v/>
      </c>
      <c r="T10" s="13" t="n">
        <v/>
      </c>
      <c r="U10" s="13" t="n">
        <v/>
      </c>
      <c r="V10" s="9" t="n"/>
      <c r="W10" s="16" t="n">
        <v/>
      </c>
      <c r="X10" s="17" t="n">
        <v/>
      </c>
      <c r="Y10" s="17" t="n">
        <v/>
      </c>
      <c r="Z10" s="17" t="n">
        <v/>
      </c>
      <c r="AA10" s="16" t="n">
        <v/>
      </c>
      <c r="AB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战术仓</t>
        </is>
      </c>
      <c r="D11" s="13" t="inlineStr">
        <is>
          <t>AI算力</t>
        </is>
      </c>
      <c r="E11" s="13" t="n">
        <v>0.03</v>
      </c>
      <c r="F11" s="13" t="n">
        <v>0.0606</v>
      </c>
      <c r="G11" s="13" t="n">
        <v/>
      </c>
      <c r="H11" s="13" t="n">
        <v/>
      </c>
      <c r="I11" s="13" t="n">
        <v/>
      </c>
      <c r="J11" s="13" t="n">
        <v/>
      </c>
      <c r="K11" s="13" t="n">
        <v/>
      </c>
      <c r="L11" s="13" t="inlineStr">
        <is>
          <t>泛AI，反弹后降级</t>
        </is>
      </c>
      <c r="M11" s="13" t="inlineStr">
        <is>
          <t>ETF</t>
        </is>
      </c>
      <c r="N11" s="13" t="n">
        <v/>
      </c>
      <c r="O11" s="13" t="n">
        <v/>
      </c>
      <c r="P11" s="13" t="n">
        <v/>
      </c>
      <c r="Q11" s="13" t="n">
        <v/>
      </c>
      <c r="R11" s="13" t="n">
        <v/>
      </c>
      <c r="S11" s="13" t="n">
        <v/>
      </c>
      <c r="T11" s="13" t="n">
        <v/>
      </c>
      <c r="U11" s="13" t="n">
        <v/>
      </c>
      <c r="V11" s="9" t="inlineStr">
        <is>
          <t>云计算ETF</t>
        </is>
      </c>
      <c r="W11" s="16" t="n">
        <v>0.03</v>
      </c>
      <c r="X11" s="17" t="n">
        <v>143490</v>
      </c>
      <c r="Y11" s="17" t="n">
        <v>63344</v>
      </c>
      <c r="Z11" s="17" t="n">
        <v>80146</v>
      </c>
      <c r="AA11" s="16" t="n">
        <v>0.4414523660185379</v>
      </c>
      <c r="AB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观察仓</t>
        </is>
      </c>
      <c r="D12" s="13" t="inlineStr">
        <is>
          <t>创新药</t>
        </is>
      </c>
      <c r="E12" s="13" t="n">
        <v>0.03</v>
      </c>
      <c r="F12" s="13" t="n">
        <v/>
      </c>
      <c r="G12" s="13" t="n">
        <v/>
      </c>
      <c r="H12" s="13" t="n">
        <v/>
      </c>
      <c r="I12" s="13" t="n">
        <v/>
      </c>
      <c r="J12" s="13" t="n">
        <v/>
      </c>
      <c r="K12" s="13" t="n">
        <v/>
      </c>
      <c r="L12" s="13" t="inlineStr">
        <is>
          <t>创新药价格提醒</t>
        </is>
      </c>
      <c r="M12" s="13" t="inlineStr">
        <is>
          <t>ETF</t>
        </is>
      </c>
      <c r="N12" s="13" t="n">
        <v/>
      </c>
      <c r="O12" s="13" t="n">
        <v/>
      </c>
      <c r="P12" s="13" t="n">
        <v/>
      </c>
      <c r="Q12" s="13" t="n">
        <v/>
      </c>
      <c r="R12" s="13" t="n">
        <v/>
      </c>
      <c r="S12" s="13" t="n">
        <v/>
      </c>
      <c r="T12" s="13" t="n">
        <v/>
      </c>
      <c r="U12" s="13" t="n">
        <v/>
      </c>
      <c r="V12" s="9" t="inlineStr">
        <is>
          <t>创新药ETF</t>
        </is>
      </c>
      <c r="W12" s="16" t="n">
        <v>0.02</v>
      </c>
      <c r="X12" s="17" t="n">
        <v>95660</v>
      </c>
      <c r="Y12" s="17" t="n">
        <v>0</v>
      </c>
      <c r="Z12" s="17" t="n">
        <v>95660</v>
      </c>
      <c r="AA12" s="16" t="n">
        <v>0</v>
      </c>
      <c r="AB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低波权益层</t>
        </is>
      </c>
      <c r="D13" s="13" t="inlineStr">
        <is>
          <t>宽基</t>
        </is>
      </c>
      <c r="E13" s="13" t="n">
        <v>0.06</v>
      </c>
      <c r="F13" s="13" t="n">
        <v>0.0702</v>
      </c>
      <c r="G13" s="13" t="n">
        <v/>
      </c>
      <c r="H13" s="13" t="n">
        <v/>
      </c>
      <c r="I13" s="13" t="n">
        <v/>
      </c>
      <c r="J13" s="13" t="n">
        <v/>
      </c>
      <c r="K13" s="13" t="n">
        <v/>
      </c>
      <c r="L13" s="13" t="inlineStr">
        <is>
          <t>低波权益</t>
        </is>
      </c>
      <c r="M13" s="13" t="inlineStr">
        <is>
          <t>ETF</t>
        </is>
      </c>
      <c r="N13" s="13" t="n">
        <v/>
      </c>
      <c r="O13" s="13" t="n">
        <v/>
      </c>
      <c r="P13" s="13" t="n">
        <v/>
      </c>
      <c r="Q13" s="13" t="n">
        <v/>
      </c>
      <c r="R13" s="13" t="n">
        <v/>
      </c>
      <c r="S13" s="13" t="n">
        <v/>
      </c>
      <c r="T13" s="13" t="n">
        <v/>
      </c>
      <c r="U13" s="13" t="n">
        <v/>
      </c>
      <c r="V13" s="9" t="inlineStr">
        <is>
          <t>中证A500ETF</t>
        </is>
      </c>
      <c r="W13" s="16" t="n">
        <v>0.08</v>
      </c>
      <c r="X13" s="17" t="n">
        <v>382640</v>
      </c>
      <c r="Y13" s="17" t="n">
        <v>109274.2</v>
      </c>
      <c r="Z13" s="17" t="n">
        <v>273365.8</v>
      </c>
      <c r="AA13" s="16" t="n">
        <v>0.285579657118963</v>
      </c>
      <c r="AB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低波权益层</t>
        </is>
      </c>
      <c r="D14" s="13" t="inlineStr">
        <is>
          <t>防御</t>
        </is>
      </c>
      <c r="E14" s="13" t="n">
        <v>0.05</v>
      </c>
      <c r="F14" s="13" t="n">
        <v>0.0406</v>
      </c>
      <c r="G14" s="13" t="n">
        <v/>
      </c>
      <c r="H14" s="13" t="n">
        <v/>
      </c>
      <c r="I14" s="13" t="n">
        <v/>
      </c>
      <c r="J14" s="13" t="n">
        <v/>
      </c>
      <c r="K14" s="13" t="n">
        <v/>
      </c>
      <c r="L14" s="13" t="inlineStr">
        <is>
          <t>低波权益</t>
        </is>
      </c>
      <c r="M14" s="13" t="inlineStr">
        <is>
          <t>ETF</t>
        </is>
      </c>
      <c r="N14" s="13" t="n">
        <v/>
      </c>
      <c r="O14" s="13" t="n">
        <v/>
      </c>
      <c r="P14" s="13" t="n">
        <v/>
      </c>
      <c r="Q14" s="13" t="n">
        <v/>
      </c>
      <c r="R14" s="13" t="n">
        <v/>
      </c>
      <c r="S14" s="13" t="n">
        <v/>
      </c>
      <c r="T14" s="13" t="n">
        <v/>
      </c>
      <c r="U14" s="13" t="n">
        <v/>
      </c>
      <c r="V14" s="9" t="inlineStr">
        <is>
          <t>红利低波ETF</t>
        </is>
      </c>
      <c r="W14" s="16" t="n">
        <v>0.05</v>
      </c>
      <c r="X14" s="17" t="n">
        <v>239150</v>
      </c>
      <c r="Y14" s="17" t="n">
        <v>42370</v>
      </c>
      <c r="Z14" s="17" t="n">
        <v>196780</v>
      </c>
      <c r="AA14" s="16" t="n">
        <v>0.1771691407066694</v>
      </c>
      <c r="AB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弹性低波层</t>
        </is>
      </c>
      <c r="D15" s="13" t="inlineStr">
        <is>
          <t>防御</t>
        </is>
      </c>
      <c r="E15" s="13" t="n">
        <v>0.04</v>
      </c>
      <c r="F15" s="13" t="n">
        <v>0.0369</v>
      </c>
      <c r="G15" s="13" t="n">
        <v/>
      </c>
      <c r="H15" s="13" t="n">
        <v/>
      </c>
      <c r="I15" s="13" t="n">
        <v/>
      </c>
      <c r="J15" s="13" t="n">
        <v/>
      </c>
      <c r="K15" s="13" t="n">
        <v/>
      </c>
      <c r="L15" s="13" t="inlineStr">
        <is>
          <t>弹性低波</t>
        </is>
      </c>
      <c r="M15" s="13" t="inlineStr">
        <is>
          <t>ETF</t>
        </is>
      </c>
      <c r="N15" s="13" t="n">
        <v/>
      </c>
      <c r="O15" s="13" t="n">
        <v/>
      </c>
      <c r="P15" s="13" t="n">
        <v/>
      </c>
      <c r="Q15" s="13" t="n">
        <v/>
      </c>
      <c r="R15" s="13" t="n">
        <v/>
      </c>
      <c r="S15" s="13" t="n">
        <v/>
      </c>
      <c r="T15" s="13" t="n">
        <v/>
      </c>
      <c r="U15" s="13" t="n">
        <v/>
      </c>
      <c r="V15" s="9" t="inlineStr">
        <is>
          <t>可转债ETF</t>
        </is>
      </c>
      <c r="W15" s="16" t="n">
        <v>0.1</v>
      </c>
      <c r="X15" s="17" t="n">
        <v>478300</v>
      </c>
      <c r="Y15" s="17" t="n">
        <v>38499</v>
      </c>
      <c r="Z15" s="17" t="n">
        <v>439801</v>
      </c>
      <c r="AA15" s="16" t="n">
        <v>0.08049132343717333</v>
      </c>
      <c r="AB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纯防御层</t>
        </is>
      </c>
      <c r="D16" s="13" t="inlineStr">
        <is>
          <t>防御</t>
        </is>
      </c>
      <c r="E16" s="13" t="n">
        <v>0.04</v>
      </c>
      <c r="F16" s="13" t="n">
        <v>0.0541</v>
      </c>
      <c r="G16" s="13" t="n">
        <v/>
      </c>
      <c r="H16" s="13" t="n">
        <v/>
      </c>
      <c r="I16" s="13" t="n">
        <v/>
      </c>
      <c r="J16" s="13" t="n">
        <v/>
      </c>
      <c r="K16" s="13" t="n">
        <v/>
      </c>
      <c r="L16" s="13" t="inlineStr">
        <is>
          <t>纯防御</t>
        </is>
      </c>
      <c r="M16" s="13" t="inlineStr">
        <is>
          <t>ETF</t>
        </is>
      </c>
      <c r="N16" s="13" t="n">
        <v/>
      </c>
      <c r="O16" s="13" t="n">
        <v/>
      </c>
      <c r="P16" s="13" t="n">
        <v/>
      </c>
      <c r="Q16" s="13" t="n">
        <v/>
      </c>
      <c r="R16" s="13" t="n">
        <v/>
      </c>
      <c r="S16" s="13" t="n">
        <v/>
      </c>
      <c r="T16" s="13" t="n">
        <v/>
      </c>
      <c r="U16" s="13" t="n">
        <v/>
      </c>
      <c r="V16" s="9" t="n"/>
      <c r="W16" s="16" t="n">
        <v/>
      </c>
      <c r="X16" s="17" t="n">
        <v/>
      </c>
      <c r="Y16" s="17" t="n">
        <v/>
      </c>
      <c r="Z16" s="17" t="n">
        <v/>
      </c>
      <c r="AA16" s="16" t="n">
        <v/>
      </c>
      <c r="AB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遗留仓</t>
        </is>
      </c>
      <c r="D17" s="13" t="inlineStr">
        <is>
          <t>新能源</t>
        </is>
      </c>
      <c r="E17" s="13" t="n">
        <v>0.05</v>
      </c>
      <c r="F17" s="13" t="n">
        <v>0.09329999999999999</v>
      </c>
      <c r="G17" s="13" t="n">
        <v/>
      </c>
      <c r="H17" s="13" t="n">
        <v/>
      </c>
      <c r="I17" s="13" t="n">
        <v/>
      </c>
      <c r="J17" s="13" t="n">
        <v/>
      </c>
      <c r="K17" s="13" t="n">
        <v/>
      </c>
      <c r="L17" s="13" t="inlineStr">
        <is>
          <t>非核心，反弹减</t>
        </is>
      </c>
      <c r="M17" s="13" t="inlineStr">
        <is>
          <t>Stock</t>
        </is>
      </c>
      <c r="N17" s="13" t="n">
        <v/>
      </c>
      <c r="O17" s="13" t="n">
        <v/>
      </c>
      <c r="P17" s="13" t="n">
        <v/>
      </c>
      <c r="Q17" s="13" t="n">
        <v/>
      </c>
      <c r="R17" s="13" t="n">
        <v/>
      </c>
      <c r="S17" s="13" t="n">
        <v/>
      </c>
      <c r="T17" s="13" t="n">
        <v/>
      </c>
      <c r="U17" s="13" t="n">
        <v/>
      </c>
      <c r="V17" s="9" t="inlineStr">
        <is>
          <t>比亚迪+绿电+储能</t>
        </is>
      </c>
      <c r="W17" s="16" t="n">
        <v>0.03</v>
      </c>
      <c r="X17" s="17" t="n">
        <v>143490</v>
      </c>
      <c r="Y17" s="17" t="n">
        <v>191942.4</v>
      </c>
      <c r="Z17" s="17" t="n">
        <v>-48452.39999999999</v>
      </c>
      <c r="AA17" s="16" t="n">
        <v>1.337670917833995</v>
      </c>
      <c r="AB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遗留仓</t>
        </is>
      </c>
      <c r="D18" s="13" t="inlineStr">
        <is>
          <t>AI算力</t>
        </is>
      </c>
      <c r="E18" s="13" t="n">
        <v>0.02</v>
      </c>
      <c r="F18" s="13" t="n">
        <v>0.0529</v>
      </c>
      <c r="G18" s="13" t="n">
        <v/>
      </c>
      <c r="H18" s="13" t="n">
        <v/>
      </c>
      <c r="I18" s="13" t="n">
        <v/>
      </c>
      <c r="J18" s="13" t="n">
        <v/>
      </c>
      <c r="K18" s="13" t="n">
        <v/>
      </c>
      <c r="L18" s="13" t="inlineStr">
        <is>
          <t>遗留仓，反弹减</t>
        </is>
      </c>
      <c r="M18" s="13" t="inlineStr">
        <is>
          <t>Stock</t>
        </is>
      </c>
      <c r="N18" s="13" t="n">
        <v/>
      </c>
      <c r="O18" s="13" t="n">
        <v/>
      </c>
      <c r="P18" s="13" t="n">
        <v/>
      </c>
      <c r="Q18" s="13" t="n">
        <v/>
      </c>
      <c r="R18" s="13" t="n">
        <v/>
      </c>
      <c r="S18" s="13" t="n">
        <v/>
      </c>
      <c r="T18" s="13" t="n">
        <v/>
      </c>
      <c r="U18" s="13" t="n">
        <v/>
      </c>
      <c r="V18" s="9" t="n"/>
      <c r="W18" s="16" t="n">
        <v/>
      </c>
      <c r="X18" s="17" t="n">
        <v/>
      </c>
      <c r="Y18" s="17" t="n">
        <v/>
      </c>
      <c r="Z18" s="17" t="n">
        <v/>
      </c>
      <c r="AA18" s="16" t="n">
        <v/>
      </c>
      <c r="AB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遗留仓</t>
        </is>
      </c>
      <c r="D19" s="13" t="inlineStr">
        <is>
          <t>新能源</t>
        </is>
      </c>
      <c r="E19" s="13" t="n">
        <v>0.03</v>
      </c>
      <c r="F19" s="13" t="n">
        <v>0.0456</v>
      </c>
      <c r="G19" s="13" t="n">
        <v/>
      </c>
      <c r="H19" s="13" t="n">
        <v/>
      </c>
      <c r="I19" s="13" t="n">
        <v/>
      </c>
      <c r="J19" s="13" t="n">
        <v/>
      </c>
      <c r="K19" s="13" t="n">
        <v/>
      </c>
      <c r="L19" s="13" t="inlineStr">
        <is>
          <t>新能源冗余</t>
        </is>
      </c>
      <c r="M19" s="13" t="inlineStr">
        <is>
          <t>ETF</t>
        </is>
      </c>
      <c r="N19" s="13" t="n">
        <v/>
      </c>
      <c r="O19" s="13" t="n">
        <v/>
      </c>
      <c r="P19" s="13" t="n">
        <v/>
      </c>
      <c r="Q19" s="13" t="n">
        <v/>
      </c>
      <c r="R19" s="13" t="n">
        <v/>
      </c>
      <c r="S19" s="13" t="n">
        <v/>
      </c>
      <c r="T19" s="13" t="n">
        <v/>
      </c>
      <c r="U19" s="13" t="n">
        <v/>
      </c>
      <c r="V19" s="9" t="inlineStr">
        <is>
          <t>比亚迪+绿电+储能</t>
        </is>
      </c>
      <c r="W19" s="16" t="n">
        <v>0.03</v>
      </c>
      <c r="X19" s="17" t="n">
        <v>143490</v>
      </c>
      <c r="Y19" s="17" t="n">
        <v>191942.4</v>
      </c>
      <c r="Z19" s="17" t="n">
        <v>-48452.39999999999</v>
      </c>
      <c r="AA19" s="16" t="n">
        <v>1.337670917833995</v>
      </c>
      <c r="AB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遗留仓</t>
        </is>
      </c>
      <c r="D20" s="13" t="inlineStr">
        <is>
          <t>新能源</t>
        </is>
      </c>
      <c r="E20" s="13" t="n">
        <v>0.02</v>
      </c>
      <c r="F20" s="13" t="n">
        <v>0.0448</v>
      </c>
      <c r="G20" s="13" t="n">
        <v/>
      </c>
      <c r="H20" s="13" t="n">
        <v/>
      </c>
      <c r="I20" s="13" t="n">
        <v/>
      </c>
      <c r="J20" s="13" t="n">
        <v/>
      </c>
      <c r="K20" s="13" t="n">
        <v/>
      </c>
      <c r="L20" s="13" t="inlineStr">
        <is>
          <t>新能源冗余</t>
        </is>
      </c>
      <c r="M20" s="13" t="inlineStr">
        <is>
          <t>ETF</t>
        </is>
      </c>
      <c r="N20" s="13" t="n">
        <v/>
      </c>
      <c r="O20" s="13" t="n">
        <v/>
      </c>
      <c r="P20" s="13" t="n">
        <v/>
      </c>
      <c r="Q20" s="13" t="n">
        <v/>
      </c>
      <c r="R20" s="13" t="n">
        <v/>
      </c>
      <c r="S20" s="13" t="n">
        <v/>
      </c>
      <c r="T20" s="13" t="n">
        <v/>
      </c>
      <c r="U20" s="13" t="n">
        <v/>
      </c>
      <c r="V20" s="9" t="inlineStr">
        <is>
          <t>比亚迪+绿电+储能</t>
        </is>
      </c>
      <c r="W20" s="16" t="n">
        <v>0.03</v>
      </c>
      <c r="X20" s="17" t="n">
        <v>143490</v>
      </c>
      <c r="Y20" s="17" t="n">
        <v>191942.4</v>
      </c>
      <c r="Z20" s="17" t="n">
        <v>-48452.39999999999</v>
      </c>
      <c r="AA20" s="16" t="n">
        <v>1.337670917833995</v>
      </c>
      <c r="AB20" s="9" t="inlineStr">
        <is>
          <t>达到或超过年度目标</t>
        </is>
      </c>
    </row>
  </sheetData>
  <autoFilter ref="A1:AB2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22" customWidth="1" min="4" max="4"/>
  </cols>
  <sheetData>
    <row r="1">
      <c r="A1" s="12" t="inlineStr">
        <is>
          <t>规则模块</t>
        </is>
      </c>
      <c r="B1" s="12" t="inlineStr">
        <is>
          <t>规则</t>
        </is>
      </c>
      <c r="C1" s="12" t="inlineStr">
        <is>
          <t>阈值/定义</t>
        </is>
      </c>
      <c r="D1" s="12" t="inlineStr">
        <is>
          <t>来源</t>
        </is>
      </c>
    </row>
    <row r="2">
      <c r="A2" s="13" t="inlineStr">
        <is>
          <t>质量准入</t>
        </is>
      </c>
      <c r="B2" s="13" t="inlineStr">
        <is>
          <t>核心候选</t>
        </is>
      </c>
      <c r="C2" s="9" t="inlineStr">
        <is>
          <t>完整评分 ≥ 8</t>
        </is>
      </c>
      <c r="D2" s="9" t="inlineStr">
        <is>
          <t>V2.8.5 第三部分</t>
        </is>
      </c>
    </row>
    <row r="3">
      <c r="A3" s="13" t="inlineStr">
        <is>
          <t>质量准入</t>
        </is>
      </c>
      <c r="B3" s="13" t="inlineStr">
        <is>
          <t>观察候选</t>
        </is>
      </c>
      <c r="C3" s="9" t="inlineStr">
        <is>
          <t>6 ≤ 完整评分 &lt; 8</t>
        </is>
      </c>
      <c r="D3" s="9" t="inlineStr">
        <is>
          <t>V2.8.5 第三部分</t>
        </is>
      </c>
    </row>
    <row r="4">
      <c r="A4" s="13" t="inlineStr">
        <is>
          <t>质量准入</t>
        </is>
      </c>
      <c r="B4" s="13" t="inlineStr">
        <is>
          <t>禁止新增</t>
        </is>
      </c>
      <c r="C4" s="9" t="inlineStr">
        <is>
          <t>完整评分 &lt; 6；或缺少完整评分/证据</t>
        </is>
      </c>
      <c r="D4" s="9" t="inlineStr">
        <is>
          <t>V2.8.5 第三部分</t>
        </is>
      </c>
    </row>
    <row r="5">
      <c r="A5" s="13" t="inlineStr">
        <is>
          <t>买点过滤</t>
        </is>
      </c>
      <c r="B5" s="13" t="inlineStr">
        <is>
          <t>标准首批</t>
        </is>
      </c>
      <c r="C5" s="9" t="inlineStr">
        <is>
          <t>六项中通过 ≥ 5，且无一票否决</t>
        </is>
      </c>
      <c r="D5" s="9" t="inlineStr">
        <is>
          <t>V2.8.5 第六部分</t>
        </is>
      </c>
    </row>
    <row r="6">
      <c r="A6" s="13" t="inlineStr">
        <is>
          <t>买点过滤</t>
        </is>
      </c>
      <c r="B6" s="13" t="inlineStr">
        <is>
          <t>半额首批</t>
        </is>
      </c>
      <c r="C6" s="9" t="inlineStr">
        <is>
          <t>六项中通过 = 4，且无一票否决</t>
        </is>
      </c>
      <c r="D6" s="9" t="inlineStr">
        <is>
          <t>V2.8.5 第六部分</t>
        </is>
      </c>
    </row>
    <row r="7">
      <c r="A7" s="13" t="inlineStr">
        <is>
          <t>情绪纪律</t>
        </is>
      </c>
      <c r="B7" s="13" t="inlineStr">
        <is>
          <t>暂停新增</t>
        </is>
      </c>
      <c r="C7" s="9" t="inlineStr">
        <is>
          <t>情绪温度 ≥ 4</t>
        </is>
      </c>
      <c r="D7" s="9" t="inlineStr">
        <is>
          <t>V2.8.5 第八部分</t>
        </is>
      </c>
    </row>
    <row r="8">
      <c r="A8" s="13" t="inlineStr">
        <is>
          <t>执行纪律</t>
        </is>
      </c>
      <c r="B8" s="13" t="inlineStr">
        <is>
          <t>单日动作上限</t>
        </is>
      </c>
      <c r="C8" s="9" t="inlineStr">
        <is>
          <t>一个买入方向 + 两个卖出/减仓方向</t>
        </is>
      </c>
      <c r="D8" s="9" t="inlineStr">
        <is>
          <t>V2.8.4/V2.8.5</t>
        </is>
      </c>
    </row>
    <row r="9">
      <c r="A9" s="13" t="inlineStr">
        <is>
          <t>现金安全垫</t>
        </is>
      </c>
      <c r="B9" s="13" t="inlineStr">
        <is>
          <t>最低值</t>
        </is>
      </c>
      <c r="C9" s="9" t="inlineStr">
        <is>
          <t>300,000元</t>
        </is>
      </c>
      <c r="D9" s="9" t="inlineStr">
        <is>
          <t>V2.8.4 第十三部分</t>
        </is>
      </c>
    </row>
    <row r="10">
      <c r="A10" s="13" t="inlineStr">
        <is>
          <t>现金安全垫</t>
        </is>
      </c>
      <c r="B10" s="13" t="inlineStr">
        <is>
          <t>目标值</t>
        </is>
      </c>
      <c r="C10" s="9" t="inlineStr">
        <is>
          <t>500,000元</t>
        </is>
      </c>
      <c r="D10" s="9" t="inlineStr">
        <is>
          <t>V2.8.4 第十三部分</t>
        </is>
      </c>
    </row>
    <row r="11">
      <c r="A11" s="13" t="inlineStr">
        <is>
          <t>产业链簇上限</t>
        </is>
      </c>
      <c r="B11" s="13" t="inlineStr">
        <is>
          <t>半导体/芯片设备</t>
        </is>
      </c>
      <c r="C11" s="9" t="inlineStr">
        <is>
          <t>≤ 18%</t>
        </is>
      </c>
      <c r="D11" s="9" t="inlineStr">
        <is>
          <t>V2.8.5 第四部分</t>
        </is>
      </c>
    </row>
    <row r="12">
      <c r="A12" s="13" t="inlineStr">
        <is>
          <t>产业链簇上限</t>
        </is>
      </c>
      <c r="B12" s="13" t="inlineStr">
        <is>
          <t>AI算力/云计算</t>
        </is>
      </c>
      <c r="C12" s="9" t="inlineStr">
        <is>
          <t>≤ 15%</t>
        </is>
      </c>
      <c r="D12" s="9" t="inlineStr">
        <is>
          <t>V2.8.5 第四部分</t>
        </is>
      </c>
    </row>
    <row r="13">
      <c r="A13" s="13" t="inlineStr">
        <is>
          <t>产业链簇上限</t>
        </is>
      </c>
      <c r="B13" s="13" t="inlineStr">
        <is>
          <t>机器人/自动化</t>
        </is>
      </c>
      <c r="C13" s="9" t="inlineStr">
        <is>
          <t>≤ 18%</t>
        </is>
      </c>
      <c r="D13" s="9" t="inlineStr">
        <is>
          <t>V2.8.5 第四部分</t>
        </is>
      </c>
    </row>
    <row r="14">
      <c r="A14" s="13" t="inlineStr">
        <is>
          <t>产业链簇上限</t>
        </is>
      </c>
      <c r="B14" s="13" t="inlineStr">
        <is>
          <t>新能源/绿电</t>
        </is>
      </c>
      <c r="C14" s="9" t="inlineStr">
        <is>
          <t>≤ 25%</t>
        </is>
      </c>
      <c r="D14" s="9" t="inlineStr">
        <is>
          <t>V2.8.5 第四部分</t>
        </is>
      </c>
    </row>
    <row r="15">
      <c r="A15" s="13" t="inlineStr">
        <is>
          <t>产业链簇上限</t>
        </is>
      </c>
      <c r="B15" s="13" t="inlineStr">
        <is>
          <t>创新药/生物医药</t>
        </is>
      </c>
      <c r="C15" s="9" t="inlineStr">
        <is>
          <t>≤ 15%</t>
        </is>
      </c>
      <c r="D15" s="9" t="inlineStr">
        <is>
          <t>V2.8.5 第四部分</t>
        </is>
      </c>
    </row>
    <row r="16">
      <c r="A16" s="13" t="inlineStr">
        <is>
          <t>产业链簇上限</t>
        </is>
      </c>
      <c r="B16" s="13" t="inlineStr">
        <is>
          <t>科技成长合计</t>
        </is>
      </c>
      <c r="C16" s="9" t="inlineStr">
        <is>
          <t>≤ 45%</t>
        </is>
      </c>
      <c r="D16" s="9" t="inlineStr">
        <is>
          <t>V2.8.5 第四部分</t>
        </is>
      </c>
    </row>
    <row r="17">
      <c r="A17" s="13" t="inlineStr">
        <is>
          <t>第一年全资产配置</t>
        </is>
      </c>
      <c r="B17" s="13" t="inlineStr">
        <is>
          <t>半导体设备ETF 159516</t>
        </is>
      </c>
      <c r="C17" s="9" t="inlineStr">
        <is>
          <t>目标8%；收益观察区间20%-30%</t>
        </is>
      </c>
      <c r="D17" s="9" t="inlineStr">
        <is>
          <t>1st年配置表.xlsx；缺口不是买入信号</t>
        </is>
      </c>
    </row>
    <row r="18">
      <c r="A18" s="13" t="inlineStr">
        <is>
          <t>第一年全资产配置</t>
        </is>
      </c>
      <c r="B18" s="13" t="inlineStr">
        <is>
          <t>机器人ETF 562500</t>
        </is>
      </c>
      <c r="C18" s="9" t="inlineStr">
        <is>
          <t>目标8%；收益观察区间18%-25%</t>
        </is>
      </c>
      <c r="D18" s="9" t="inlineStr">
        <is>
          <t>1st年配置表.xlsx；缺口不是买入信号</t>
        </is>
      </c>
    </row>
    <row r="19">
      <c r="A19" s="13" t="inlineStr">
        <is>
          <t>第一年全资产配置</t>
        </is>
      </c>
      <c r="B19" s="13" t="inlineStr">
        <is>
          <t>创业板人工智能ETF 159381</t>
        </is>
      </c>
      <c r="C19" s="9" t="inlineStr">
        <is>
          <t>目标6%；收益观察区间20%-30%</t>
        </is>
      </c>
      <c r="D19" s="9" t="inlineStr">
        <is>
          <t>1st年配置表.xlsx；缺口不是买入信号</t>
        </is>
      </c>
    </row>
    <row r="20">
      <c r="A20" s="13" t="inlineStr">
        <is>
          <t>第一年全资产配置</t>
        </is>
      </c>
      <c r="B20" s="13" t="inlineStr">
        <is>
          <t>创新药ETF</t>
        </is>
      </c>
      <c r="C20" s="9" t="inlineStr">
        <is>
          <t>目标2%；收益观察区间15%-25%</t>
        </is>
      </c>
      <c r="D20" s="9" t="inlineStr">
        <is>
          <t>1st年配置表.xlsx；缺口不是买入信号</t>
        </is>
      </c>
    </row>
    <row r="21">
      <c r="A21" s="13" t="inlineStr">
        <is>
          <t>第一年全资产配置</t>
        </is>
      </c>
      <c r="B21" s="13" t="inlineStr">
        <is>
          <t>比亚迪+绿电+储能</t>
        </is>
      </c>
      <c r="C21" s="9" t="inlineStr">
        <is>
          <t>目标3%；收益观察区间8%-15%</t>
        </is>
      </c>
      <c r="D21" s="9" t="inlineStr">
        <is>
          <t>1st年配置表.xlsx；缺口不是买入信号</t>
        </is>
      </c>
    </row>
    <row r="22">
      <c r="A22" s="13" t="inlineStr">
        <is>
          <t>第一年全资产配置</t>
        </is>
      </c>
      <c r="B22" s="13" t="inlineStr">
        <is>
          <t>云计算ETF</t>
        </is>
      </c>
      <c r="C22" s="9" t="inlineStr">
        <is>
          <t>目标3%；收益观察区间8%-15%</t>
        </is>
      </c>
      <c r="D22" s="9" t="inlineStr">
        <is>
          <t>1st年配置表.xlsx；缺口不是买入信号</t>
        </is>
      </c>
    </row>
    <row r="23">
      <c r="A23" s="13" t="inlineStr">
        <is>
          <t>第一年全资产配置</t>
        </is>
      </c>
      <c r="B23" s="13" t="inlineStr">
        <is>
          <t>中证A500ETF</t>
        </is>
      </c>
      <c r="C23" s="9" t="inlineStr">
        <is>
          <t>目标8%；收益观察区间6%-10%</t>
        </is>
      </c>
      <c r="D23" s="9" t="inlineStr">
        <is>
          <t>1st年配置表.xlsx；缺口不是买入信号</t>
        </is>
      </c>
    </row>
    <row r="24">
      <c r="A24" s="13" t="inlineStr">
        <is>
          <t>第一年全资产配置</t>
        </is>
      </c>
      <c r="B24" s="13" t="inlineStr">
        <is>
          <t>红利低波ETF</t>
        </is>
      </c>
      <c r="C24" s="9" t="inlineStr">
        <is>
          <t>目标5%；收益观察区间5%-8%</t>
        </is>
      </c>
      <c r="D24" s="9" t="inlineStr">
        <is>
          <t>1st年配置表.xlsx；缺口不是买入信号</t>
        </is>
      </c>
    </row>
    <row r="25">
      <c r="A25" s="13" t="inlineStr">
        <is>
          <t>第一年全资产配置</t>
        </is>
      </c>
      <c r="B25" s="13" t="inlineStr">
        <is>
          <t>可转债ETF</t>
        </is>
      </c>
      <c r="C25" s="9" t="inlineStr">
        <is>
          <t>目标10%；收益观察区间6%-10%</t>
        </is>
      </c>
      <c r="D25" s="9" t="inlineStr">
        <is>
          <t>1st年配置表.xlsx；缺口不是买入信号</t>
        </is>
      </c>
    </row>
    <row r="26">
      <c r="A26" s="13" t="inlineStr">
        <is>
          <t>第一年全资产配置</t>
        </is>
      </c>
      <c r="B26" s="13" t="inlineStr">
        <is>
          <t>战术机会仓</t>
        </is>
      </c>
      <c r="C26" s="9" t="inlineStr">
        <is>
          <t>目标3%；收益观察区间15%-30%</t>
        </is>
      </c>
      <c r="D26" s="9" t="inlineStr">
        <is>
          <t>1st年配置表.xlsx；缺口不是买入信号</t>
        </is>
      </c>
    </row>
    <row r="27">
      <c r="A27" s="13" t="inlineStr">
        <is>
          <t>第一年全资产配置</t>
        </is>
      </c>
      <c r="B27" s="13" t="inlineStr">
        <is>
          <t>AI/半导体高质量个股篮子</t>
        </is>
      </c>
      <c r="C27" s="9" t="inlineStr">
        <is>
          <t>目标2%；收益观察区间25%-35%</t>
        </is>
      </c>
      <c r="D27" s="9" t="inlineStr">
        <is>
          <t>1st年配置表.xlsx；缺口不是买入信号</t>
        </is>
      </c>
    </row>
  </sheetData>
  <autoFilter ref="A1:D2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2" t="inlineStr">
        <is>
          <t>检查项</t>
        </is>
      </c>
      <c r="B1" s="12" t="inlineStr">
        <is>
          <t>实际</t>
        </is>
      </c>
      <c r="C1" s="12" t="inlineStr">
        <is>
          <t>期望</t>
        </is>
      </c>
      <c r="D1" s="12" t="inlineStr">
        <is>
          <t>差异</t>
        </is>
      </c>
      <c r="E1" s="12" t="inlineStr">
        <is>
          <t>容差</t>
        </is>
      </c>
      <c r="F1" s="12" t="inlineStr">
        <is>
          <t>状态</t>
        </is>
      </c>
      <c r="G1" s="12" t="inlineStr">
        <is>
          <t>修复建议</t>
        </is>
      </c>
    </row>
    <row r="2">
      <c r="A2" s="13" t="inlineStr">
        <is>
          <t>持仓市值合计</t>
        </is>
      </c>
      <c r="B2" s="13" t="n">
        <v>779034.2200000001</v>
      </c>
      <c r="C2" s="13" t="n">
        <v>779034.22</v>
      </c>
      <c r="D2" s="13" t="n">
        <v>1.164153218269348e-10</v>
      </c>
      <c r="E2" s="13" t="n">
        <v>1</v>
      </c>
      <c r="F2" s="36" t="inlineStr">
        <is>
          <t>OK</t>
        </is>
      </c>
      <c r="G2" s="9" t="inlineStr">
        <is>
          <t>核对截图总市值与各持仓市值</t>
        </is>
      </c>
    </row>
    <row r="3">
      <c r="A3" s="13" t="inlineStr">
        <is>
          <t>持仓权重合计</t>
        </is>
      </c>
      <c r="B3" s="13" t="n">
        <v>0.7456</v>
      </c>
      <c r="C3" s="13" t="n">
        <v>0.7457</v>
      </c>
      <c r="D3" s="13" t="n">
        <v>-9.999999999998899e-05</v>
      </c>
      <c r="E3" s="13" t="n">
        <v>0.001</v>
      </c>
      <c r="F3" s="36" t="inlineStr">
        <is>
          <t>OK</t>
        </is>
      </c>
      <c r="G3" s="9" t="inlineStr">
        <is>
          <t>单只权重四舍五入可能产生小差异</t>
        </is>
      </c>
    </row>
    <row r="4">
      <c r="A4" s="13" t="inlineStr">
        <is>
          <t>行情完整性</t>
        </is>
      </c>
      <c r="B4" s="13" t="n">
        <v>7</v>
      </c>
      <c r="C4" s="13" t="n">
        <v>0</v>
      </c>
      <c r="D4" s="13" t="n">
        <v>7</v>
      </c>
      <c r="E4" s="13" t="n">
        <v>0</v>
      </c>
      <c r="F4" s="14" t="inlineStr">
        <is>
          <t>检查</t>
        </is>
      </c>
      <c r="G4" s="9" t="inlineStr">
        <is>
          <t>重新运行或核对缺失代码</t>
        </is>
      </c>
    </row>
    <row r="5">
      <c r="A5" s="13" t="inlineStr">
        <is>
          <t>观察池重复代码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36" t="inlineStr">
        <is>
          <t>OK</t>
        </is>
      </c>
      <c r="G5" s="9" t="inlineStr">
        <is>
          <t>删除重复观察项</t>
        </is>
      </c>
    </row>
    <row r="6">
      <c r="A6" s="13" t="inlineStr">
        <is>
          <t>持仓重复代码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36" t="inlineStr">
        <is>
          <t>OK</t>
        </is>
      </c>
      <c r="G6" s="9" t="inlineStr">
        <is>
          <t>合并重复持仓</t>
        </is>
      </c>
    </row>
    <row r="7">
      <c r="A7" s="13" t="inlineStr">
        <is>
          <t>质量评分缺失</t>
        </is>
      </c>
      <c r="B7" s="13" t="n">
        <v>14</v>
      </c>
      <c r="C7" s="13" t="n">
        <v>0</v>
      </c>
      <c r="D7" s="13" t="n">
        <v>14</v>
      </c>
      <c r="E7" s="13" t="n">
        <v>0</v>
      </c>
      <c r="F7" s="37" t="inlineStr">
        <is>
          <t>待补</t>
        </is>
      </c>
      <c r="G7" s="9" t="inlineStr">
        <is>
          <t>在watchlist.csv填写完整评分与证据；缺失时不得新增</t>
        </is>
      </c>
    </row>
    <row r="8">
      <c r="A8" s="13" t="inlineStr">
        <is>
          <t>全资产口径</t>
        </is>
      </c>
      <c r="B8" s="13" t="n">
        <v>4783000</v>
      </c>
      <c r="C8" s="13" t="inlineStr">
        <is>
          <t>&gt;=证券账户总资产</t>
        </is>
      </c>
      <c r="D8" s="13" t="n">
        <v/>
      </c>
      <c r="E8" s="13" t="n">
        <v>0</v>
      </c>
      <c r="F8" s="36" t="inlineStr">
        <is>
          <t>OK</t>
        </is>
      </c>
      <c r="G8" s="9" t="inlineStr">
        <is>
          <t>核对total_assets与account_total口径</t>
        </is>
      </c>
    </row>
    <row r="9">
      <c r="A9" s="13" t="inlineStr">
        <is>
          <t>第一年目标比例合计</t>
        </is>
      </c>
      <c r="B9" s="13" t="n">
        <v>0.5800000000000001</v>
      </c>
      <c r="C9" s="13" t="inlineStr">
        <is>
          <t>&lt;=100%</t>
        </is>
      </c>
      <c r="D9" s="13" t="n">
        <v/>
      </c>
      <c r="E9" s="13" t="n">
        <v>0</v>
      </c>
      <c r="F9" s="36" t="inlineStr">
        <is>
          <t>OK</t>
        </is>
      </c>
      <c r="G9" s="9" t="inlineStr">
        <is>
          <t>配置表当前规划58%，其余应明确为现金/防御/未配置</t>
        </is>
      </c>
    </row>
    <row r="10">
      <c r="A10" s="13" t="inlineStr">
        <is>
          <t>配置表当前金额复核</t>
        </is>
      </c>
      <c r="B10" s="13" t="n">
        <v>667203.8</v>
      </c>
      <c r="C10" s="13" t="n">
        <v>667200</v>
      </c>
      <c r="D10" s="13" t="n">
        <v>3.800000000046566</v>
      </c>
      <c r="E10" s="13" t="n">
        <v>2000</v>
      </c>
      <c r="F10" s="36" t="inlineStr">
        <is>
          <t>OK</t>
        </is>
      </c>
      <c r="G10" s="9" t="inlineStr">
        <is>
          <t>来源表金额以万元四舍五入；差异过大时核对代码映射</t>
        </is>
      </c>
    </row>
    <row r="11">
      <c r="A11" s="13" t="inlineStr">
        <is>
          <t>年度配置代码重复映射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36" t="inlineStr">
        <is>
          <t>OK</t>
        </is>
      </c>
      <c r="G11" s="9" t="inlineStr">
        <is>
          <t>同一持仓不得重复计入多个年度配置项</t>
        </is>
      </c>
    </row>
  </sheetData>
  <autoFilter ref="A1:G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2" customWidth="1" min="3" max="3"/>
  </cols>
  <sheetData>
    <row r="1">
      <c r="A1" s="12" t="inlineStr">
        <is>
          <t>步骤</t>
        </is>
      </c>
      <c r="B1" s="12" t="inlineStr">
        <is>
          <t>操作</t>
        </is>
      </c>
      <c r="C1" s="12" t="inlineStr">
        <is>
          <t>说明</t>
        </is>
      </c>
    </row>
    <row r="2">
      <c r="A2" s="13" t="inlineStr">
        <is>
          <t>1</t>
        </is>
      </c>
      <c r="B2" s="13" t="inlineStr">
        <is>
          <t>编辑 watchlist.csv</t>
        </is>
      </c>
      <c r="C2" s="9" t="inlineStr">
        <is>
          <t>维护观察池代码、角色、目标权重</t>
        </is>
      </c>
    </row>
    <row r="3">
      <c r="A3" s="13" t="inlineStr">
        <is>
          <t>2</t>
        </is>
      </c>
      <c r="B3" s="13" t="inlineStr">
        <is>
          <t>补充质量与六项信号</t>
        </is>
      </c>
      <c r="C3" s="9" t="inlineStr">
        <is>
          <t>在watchlist.csv填写完整质量分、评分证据、份额/筹码、折溢价/估值、龙头同步和次日验证</t>
        </is>
      </c>
    </row>
    <row r="4">
      <c r="A4" s="13" t="inlineStr">
        <is>
          <t>3</t>
        </is>
      </c>
      <c r="B4" s="13" t="inlineStr">
        <is>
          <t>编辑 decision_inputs.csv</t>
        </is>
      </c>
      <c r="C4" s="9" t="inlineStr">
        <is>
          <t>可选：填写1-5级人工情绪温度；空白时只显示低可靠性代理</t>
        </is>
      </c>
    </row>
    <row r="5">
      <c r="A5" s="13" t="inlineStr">
        <is>
          <t>4</t>
        </is>
      </c>
      <c r="B5" s="13" t="inlineStr">
        <is>
          <t>编辑 first_year_allocation.csv</t>
        </is>
      </c>
      <c r="C5" s="9" t="inlineStr">
        <is>
          <t>维护第一年全资产目标、代码映射、收益观察区间与执行约束；年度缺口不是买入信号</t>
        </is>
      </c>
    </row>
    <row r="6">
      <c r="A6" s="13" t="inlineStr">
        <is>
          <t>5</t>
        </is>
      </c>
      <c r="B6" s="13" t="inlineStr">
        <is>
          <t>编辑 positions.csv</t>
        </is>
      </c>
      <c r="C6" s="9" t="inlineStr">
        <is>
          <t>维护持仓数量、成本、账户总资产和券商截图持仓快照</t>
        </is>
      </c>
    </row>
    <row r="7">
      <c r="A7" s="13" t="inlineStr">
        <is>
          <t>6</t>
        </is>
      </c>
      <c r="B7" s="13" t="inlineStr">
        <is>
          <t>运行 python main.py</t>
        </is>
      </c>
      <c r="C7" s="9" t="inlineStr">
        <is>
          <t>抓取行情并生成 Excel</t>
        </is>
      </c>
    </row>
    <row r="8">
      <c r="A8" s="13" t="inlineStr">
        <is>
          <t>7</t>
        </is>
      </c>
      <c r="B8" s="13" t="inlineStr">
        <is>
          <t>打开 output 文件夹里最新的 V2.8.5_每日行情输出_日期时间.xlsx</t>
        </is>
      </c>
      <c r="C8" s="9" t="inlineStr">
        <is>
          <t>按顺序查看 01_今日决策、02_今日动作、03_买入候选、04_持仓风险、05_年度配置和06_组合总览</t>
        </is>
      </c>
    </row>
    <row r="9">
      <c r="A9" s="13" t="inlineStr">
        <is>
          <t>8</t>
        </is>
      </c>
      <c r="B9" s="13" t="inlineStr">
        <is>
          <t>理解双口径</t>
        </is>
      </c>
      <c r="C9" s="9" t="inlineStr">
        <is>
          <t>第一年目标使用全资产口径；证券账户目标继续作为集中度硬约束</t>
        </is>
      </c>
    </row>
    <row r="10">
      <c r="A10" s="13" t="inlineStr">
        <is>
          <t>9</t>
        </is>
      </c>
      <c r="B10" s="13" t="inlineStr">
        <is>
          <t>理解数据边界</t>
        </is>
      </c>
      <c r="C10" s="9" t="inlineStr">
        <is>
          <t>缺失项不得自动判绿；代理分不折算为完整评分</t>
        </is>
      </c>
    </row>
  </sheetData>
  <autoFilter ref="A1:C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2026-06-20T08:08:19Z</dcterms:created>
  <dcterms:modified xmlns:dcterms="http://purl.org/dc/terms/" xmlns:xsi="http://www.w3.org/2001/XMLSchema-instance" xsi:type="dcterms:W3CDTF">2026-06-20T08:08:19Z</dcterms:modified>
</cp:coreProperties>
</file>